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UENTOS MENSUALES" sheetId="1" r:id="rId4"/>
    <sheet state="visible" name="RESUMEN EJECUTIVO" sheetId="2" r:id="rId5"/>
    <sheet state="visible" name="INSTRUCCIONES" sheetId="3" r:id="rId6"/>
  </sheets>
  <definedNames/>
  <calcPr/>
  <extLst>
    <ext uri="GoogleSheetsCustomDataVersion2">
      <go:sheetsCustomData xmlns:go="http://customooxmlschemas.google.com/" r:id="rId7" roundtripDataChecksum="PwjNwTNgXDkD4amCbWq6NA/ZySXhWgi/oNXFxmsOGoU="/>
    </ext>
  </extLst>
</workbook>
</file>

<file path=xl/sharedStrings.xml><?xml version="1.0" encoding="utf-8"?>
<sst xmlns="http://schemas.openxmlformats.org/spreadsheetml/2006/main" count="152" uniqueCount="105">
  <si>
    <t>BOPELUAL S.A. – CONTROL DE DESCUENTOS DE PERSONAL</t>
  </si>
  <si>
    <t xml:space="preserve">MES:  JUNIO                  AÑO:    2026         </t>
  </si>
  <si>
    <t>▶  Llena solo las celdas blancas.   Los totales se calculan automáticamente.   Coloca 'cuota X/Y' en la columna DETALLE cuando aplique.</t>
  </si>
  <si>
    <t>N°</t>
  </si>
  <si>
    <t>EMPLEADO</t>
  </si>
  <si>
    <t xml:space="preserve">MEC
</t>
  </si>
  <si>
    <t>SALUDSA</t>
  </si>
  <si>
    <t>PREVIEX</t>
  </si>
  <si>
    <t>RETENCIÓN TRIBUTARIAS</t>
  </si>
  <si>
    <t>PRÉSTAMOS
INSTITUCIONALES</t>
  </si>
  <si>
    <t>ANTICIPO DE SUELDO</t>
  </si>
  <si>
    <t>EQUIPO CELULAR / TECNOLÓGICO</t>
  </si>
  <si>
    <t>OTROS
(Multas / Atrasos / Sanciones)</t>
  </si>
  <si>
    <t>TOTAL
DESCUENTOS</t>
  </si>
  <si>
    <t>MONTO $</t>
  </si>
  <si>
    <t>DETALLE</t>
  </si>
  <si>
    <t>COMPAÑÍA</t>
  </si>
  <si>
    <t>SALDO DE DEUDA</t>
  </si>
  <si>
    <t>PLAZO</t>
  </si>
  <si>
    <t>CUOTA</t>
  </si>
  <si>
    <t>DESCRIPCIÓN</t>
  </si>
  <si>
    <t>SALDO PENDIENTE</t>
  </si>
  <si>
    <t>DIAS</t>
  </si>
  <si>
    <t>← EJEMPLO → Ingresa el nombre del empleado, monto y detalle en cada categoría que corresponda. El TOTAL se calculará solo.</t>
  </si>
  <si>
    <t xml:space="preserve">MIGUEL TORAL </t>
  </si>
  <si>
    <t>MEC JUNIO</t>
  </si>
  <si>
    <t>BOPELUAL</t>
  </si>
  <si>
    <t>3 MESES</t>
  </si>
  <si>
    <t>3/3</t>
  </si>
  <si>
    <t xml:space="preserve">PRESTAMO JUNIO SE DESCONTARA A PARTIR DESDE JULIO </t>
  </si>
  <si>
    <t>DIANA CARRERA</t>
  </si>
  <si>
    <t>DESCONTADO EN TOTALIDAD</t>
  </si>
  <si>
    <t>CYNTHIA HIDALGO</t>
  </si>
  <si>
    <t>12 MESES</t>
  </si>
  <si>
    <t>5/12</t>
  </si>
  <si>
    <t xml:space="preserve">PRESTAMO DIC 2025 </t>
  </si>
  <si>
    <t xml:space="preserve">ANDRES NADER </t>
  </si>
  <si>
    <t>6 MESES</t>
  </si>
  <si>
    <t>6/6</t>
  </si>
  <si>
    <t>DESCONTADO EN TOTALIDAD EN JUNIO</t>
  </si>
  <si>
    <t xml:space="preserve">ALEJANDRO BOLOÑA </t>
  </si>
  <si>
    <t>2/3</t>
  </si>
  <si>
    <t>PRESTAMO MARZO 2026 PIDIO PRORROGA PARA QUE SE DESC EN AGOSTO</t>
  </si>
  <si>
    <t>JORDI CRUZ</t>
  </si>
  <si>
    <t xml:space="preserve">DECONTADO EN SU TOTALIDAD JUNIO </t>
  </si>
  <si>
    <t>NUBIA ERAZO</t>
  </si>
  <si>
    <t>PERDIDA DE LAPTOP</t>
  </si>
  <si>
    <t>ELENA VILLAVICENCIO</t>
  </si>
  <si>
    <t>2 MESES</t>
  </si>
  <si>
    <t>2/2</t>
  </si>
  <si>
    <t>LIDER INTRIAGO</t>
  </si>
  <si>
    <t>CARROS YA</t>
  </si>
  <si>
    <t xml:space="preserve">PENSION ALIMENTICIA </t>
  </si>
  <si>
    <t xml:space="preserve">CADA MES </t>
  </si>
  <si>
    <t>JENNIFFER AVILES</t>
  </si>
  <si>
    <t>DESCONTAR DESDE JULIO</t>
  </si>
  <si>
    <t>GIANELLA BAUX</t>
  </si>
  <si>
    <t xml:space="preserve">JHONAS LOPEZ </t>
  </si>
  <si>
    <t>JORGE LUCERO</t>
  </si>
  <si>
    <t>LENTES</t>
  </si>
  <si>
    <t>CHRISTIAN RODRIGUEZ</t>
  </si>
  <si>
    <t xml:space="preserve">BOPELUAL </t>
  </si>
  <si>
    <t>1</t>
  </si>
  <si>
    <t xml:space="preserve">DESCONTADO EN JUNIO </t>
  </si>
  <si>
    <t>TOTALES DEL MES</t>
  </si>
  <si>
    <t>RESUMEN EJECUTIVO – DESCUENTOS DE NÓMINA - JUNIO</t>
  </si>
  <si>
    <t>Los valores se actualizan automáticamente desde la hoja DESCUENTOS MENSUALES</t>
  </si>
  <si>
    <t>CATEGORÍA</t>
  </si>
  <si>
    <t>TOTAL DESCONTADO $</t>
  </si>
  <si>
    <t>N° EMPLEADOS AFECTADOS</t>
  </si>
  <si>
    <t>PROMEDIO POR EMPLEADO $</t>
  </si>
  <si>
    <t>% DEL TOTAL</t>
  </si>
  <si>
    <t>MEC</t>
  </si>
  <si>
    <t>RETENCIÓN MES</t>
  </si>
  <si>
    <t>PRÉSTAMOS</t>
  </si>
  <si>
    <t>ANTICIPO SUELDO</t>
  </si>
  <si>
    <t>OTROS (Multas / Atrasos / Sanciones)</t>
  </si>
  <si>
    <t>GRAN TOTAL</t>
  </si>
  <si>
    <t>INSTRUCCIONES DE USO</t>
  </si>
  <si>
    <t>Escribe el nombre completo del empleado en la columna B (celda amarilla).</t>
  </si>
  <si>
    <t>2</t>
  </si>
  <si>
    <t>Ingresa el monto mensual descontado. En CUOTA escribe ej. '2/6'. En SALDO el saldo pendiente. DETALLE para observaciones.</t>
  </si>
  <si>
    <t>3</t>
  </si>
  <si>
    <t>Ingresa el valor mensual de descuento del seguro de salud.</t>
  </si>
  <si>
    <t>4</t>
  </si>
  <si>
    <t>Ingresa el valor mensual del plan de cesantía o jubilación privada.</t>
  </si>
  <si>
    <t>5</t>
  </si>
  <si>
    <t>Ingresa el valor de retención en la fuente aplicado en la quincena/fin de mes.</t>
  </si>
  <si>
    <t>6</t>
  </si>
  <si>
    <t>Registra el nombre de la entidad financiera, el monto de la cuota mensual y el detalle de cuota (ej. 'cuota 3/3').</t>
  </si>
  <si>
    <t>7</t>
  </si>
  <si>
    <t>Registra el anticipo entregado, la cuota que se descuenta, el saldo pendiente y cualquier observación (ej. 'descontar solo $128').</t>
  </si>
  <si>
    <t>8</t>
  </si>
  <si>
    <t>TOTAL</t>
  </si>
  <si>
    <t>La columna TOTAL DESCUENTOS (R) se calcula automáticamente. No editar.</t>
  </si>
  <si>
    <t>EQUIPO CELULAR</t>
  </si>
  <si>
    <t>Ingresa la descripción del equipo (ej. 'iPhone 14 Pro'), el monto de la cuota mensual y el número de cuota (ej. '3/12'). Aplica para celulares, tablets, laptops u otros equipos tecnológicos financiados por la empresa.</t>
  </si>
  <si>
    <t>9</t>
  </si>
  <si>
    <t>OTROS</t>
  </si>
  <si>
    <t>Registra multas, descuentos por atrasos, sanciones comerciales u otros. Indica el MOTIVO (ej. 'Tardanza 3 días'), el MONTO a descontar y la FECHA del evento o resolución. El monto se suma automáticamente al TOTAL.</t>
  </si>
  <si>
    <t>RESUMEN</t>
  </si>
  <si>
    <t>La hoja RESUMEN EJECUTIVO consolida los totales automáticamente para enviar a gerencia.</t>
  </si>
  <si>
    <t>10</t>
  </si>
  <si>
    <t>COMPARTIR</t>
  </si>
  <si>
    <t>Guarda el archivo en Google Drive y comparte con Alexandra, Fabiola y Gisell con permisos de edición.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</si>
</sst>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$&quot;* #,##0.00_-;_-&quot;$&quot;* \-#,##0.00_-;_-&quot;$&quot;* &quot;-&quot;??_-;_-@"/>
    <numFmt numFmtId="165" formatCode="dd/mm/yyyy"/>
    <numFmt numFmtId="166" formatCode="\$#,##0.00"/>
    <numFmt numFmtId="167" formatCode="0.0%"/>
  </numFmts>
  <fonts count="22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37474F"/>
      <name val="Arial"/>
    </font>
    <font>
      <i/>
      <sz val="9.0"/>
      <color rgb="FF555555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i/>
      <sz val="8.0"/>
      <color rgb="FF777777"/>
      <name val="Arial"/>
    </font>
    <font>
      <b/>
      <sz val="10.0"/>
      <color rgb="FF555555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sz val="10.0"/>
      <color theme="1"/>
      <name val="Arial"/>
    </font>
    <font>
      <b/>
      <sz val="10.0"/>
      <color rgb="FF37474F"/>
      <name val="Arial"/>
    </font>
    <font>
      <b/>
      <sz val="11.0"/>
      <color rgb="FF000000"/>
      <name val="Arial"/>
    </font>
    <font>
      <sz val="11.0"/>
      <color theme="1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color theme="1"/>
      <name val="Calibri"/>
      <scheme val="minor"/>
    </font>
    <font>
      <b/>
      <sz val="13.0"/>
      <color rgb="FFFFFFFF"/>
      <name val="Arial"/>
    </font>
    <font>
      <sz val="10.0"/>
      <color rgb="FFFFFFFF"/>
      <name val="Arial"/>
    </font>
    <font>
      <sz val="10.0"/>
      <color rgb="FF37474F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37474F"/>
        <bgColor rgb="FF37474F"/>
      </patternFill>
    </fill>
    <fill>
      <patternFill patternType="solid">
        <fgColor rgb="FFFFD700"/>
        <bgColor rgb="FFFFD700"/>
      </patternFill>
    </fill>
    <fill>
      <patternFill patternType="solid">
        <fgColor rgb="FFEEF2FF"/>
        <bgColor rgb="FFEEF2FF"/>
      </patternFill>
    </fill>
    <fill>
      <patternFill patternType="solid">
        <fgColor rgb="FFE53935"/>
        <bgColor rgb="FFE53935"/>
      </patternFill>
    </fill>
    <fill>
      <patternFill patternType="solid">
        <fgColor rgb="FF006064"/>
        <bgColor rgb="FF006064"/>
      </patternFill>
    </fill>
    <fill>
      <patternFill patternType="solid">
        <fgColor rgb="FF4527A0"/>
        <bgColor rgb="FF4527A0"/>
      </patternFill>
    </fill>
    <fill>
      <patternFill patternType="solid">
        <fgColor rgb="FFFF6F00"/>
        <bgColor rgb="FFFF6F00"/>
      </patternFill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  <fill>
      <patternFill patternType="solid">
        <fgColor rgb="FF1B5E20"/>
        <bgColor rgb="FF1B5E20"/>
      </patternFill>
    </fill>
    <fill>
      <patternFill patternType="solid">
        <fgColor rgb="FFB71C1C"/>
        <bgColor rgb="FFB71C1C"/>
      </patternFill>
    </fill>
    <fill>
      <patternFill patternType="solid">
        <fgColor rgb="FFE8EAF6"/>
        <bgColor rgb="FFE8EAF6"/>
      </patternFill>
    </fill>
    <fill>
      <patternFill patternType="solid">
        <fgColor rgb="FFECEFF1"/>
        <bgColor rgb="FFECEFF1"/>
      </patternFill>
    </fill>
    <fill>
      <patternFill patternType="solid">
        <fgColor rgb="FFFFF9C4"/>
        <bgColor rgb="FFFFF9C4"/>
      </patternFill>
    </fill>
    <fill>
      <patternFill patternType="solid">
        <fgColor rgb="FFF9F9F9"/>
        <bgColor rgb="FFF9F9F9"/>
      </patternFill>
    </fill>
    <fill>
      <patternFill patternType="solid">
        <fgColor rgb="FFFFF8E1"/>
        <bgColor rgb="FFFFF8E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F5F5F5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right/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left style="thin">
        <color rgb="FFBDBDBD"/>
      </left>
      <right/>
      <top style="thin">
        <color rgb="FFBDBDBD"/>
      </top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n">
        <color rgb="FFBDBDBD"/>
      </right>
      <bottom/>
    </border>
    <border>
      <left style="thin">
        <color rgb="FFBDBDBD"/>
      </left>
      <right/>
      <bottom style="thin">
        <color rgb="FFBDBDBD"/>
      </bottom>
    </border>
    <border>
      <left style="medium">
        <color rgb="FF37474F"/>
      </left>
      <right style="medium">
        <color rgb="FF37474F"/>
      </right>
      <top style="medium">
        <color rgb="FF37474F"/>
      </top>
      <bottom style="medium">
        <color rgb="FF37474F"/>
      </bottom>
    </border>
    <border>
      <left style="medium">
        <color rgb="FF37474F"/>
      </left>
      <top style="medium">
        <color rgb="FF37474F"/>
      </top>
      <bottom style="medium">
        <color rgb="FF37474F"/>
      </bottom>
    </border>
    <border>
      <right/>
      <top style="medium">
        <color rgb="FF37474F"/>
      </top>
      <bottom style="medium">
        <color rgb="FF37474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5" fillId="9" fontId="5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5" fillId="10" fontId="5" numFmtId="0" xfId="0" applyAlignment="1" applyBorder="1" applyFill="1" applyFont="1">
      <alignment horizontal="center" shrinkToFit="0" vertical="center" wrapText="1"/>
    </xf>
    <xf borderId="5" fillId="11" fontId="5" numFmtId="0" xfId="0" applyAlignment="1" applyBorder="1" applyFill="1" applyFont="1">
      <alignment horizontal="center" shrinkToFit="0" vertical="center" wrapText="1"/>
    </xf>
    <xf borderId="8" fillId="12" fontId="5" numFmtId="0" xfId="0" applyAlignment="1" applyBorder="1" applyFill="1" applyFont="1">
      <alignment horizontal="center" shrinkToFit="0" vertical="center" wrapText="1"/>
    </xf>
    <xf borderId="9" fillId="12" fontId="6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9" fillId="5" fontId="6" numFmtId="0" xfId="0" applyAlignment="1" applyBorder="1" applyFont="1">
      <alignment horizontal="center" shrinkToFit="0" vertical="center" wrapText="1"/>
    </xf>
    <xf borderId="9" fillId="9" fontId="6" numFmtId="0" xfId="0" applyAlignment="1" applyBorder="1" applyFont="1">
      <alignment horizontal="center" shrinkToFit="0" vertical="center" wrapText="1"/>
    </xf>
    <xf borderId="9" fillId="9" fontId="6" numFmtId="164" xfId="0" applyAlignment="1" applyBorder="1" applyFont="1" applyNumberFormat="1">
      <alignment horizontal="center" readingOrder="0" shrinkToFit="0" vertical="center" wrapText="1"/>
    </xf>
    <xf borderId="9" fillId="9" fontId="6" numFmtId="0" xfId="0" applyAlignment="1" applyBorder="1" applyFont="1">
      <alignment horizontal="left" shrinkToFit="0" vertical="center" wrapText="1"/>
    </xf>
    <xf borderId="9" fillId="10" fontId="6" numFmtId="0" xfId="0" applyAlignment="1" applyBorder="1" applyFont="1">
      <alignment horizontal="center" shrinkToFit="0" vertical="center" wrapText="1"/>
    </xf>
    <xf borderId="9" fillId="11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" fillId="13" fontId="7" numFmtId="0" xfId="0" applyAlignment="1" applyBorder="1" applyFill="1" applyFont="1">
      <alignment horizontal="left" shrinkToFit="0" vertical="center" wrapText="1"/>
    </xf>
    <xf borderId="9" fillId="14" fontId="8" numFmtId="0" xfId="0" applyAlignment="1" applyBorder="1" applyFill="1" applyFont="1">
      <alignment horizontal="center" shrinkToFit="0" vertical="center" wrapText="1"/>
    </xf>
    <xf borderId="9" fillId="15" fontId="9" numFmtId="0" xfId="0" applyAlignment="1" applyBorder="1" applyFill="1" applyFont="1">
      <alignment horizontal="left" readingOrder="0" shrinkToFit="0" vertical="center" wrapText="1"/>
    </xf>
    <xf borderId="9" fillId="16" fontId="10" numFmtId="4" xfId="0" applyAlignment="1" applyBorder="1" applyFill="1" applyFont="1" applyNumberFormat="1">
      <alignment horizontal="center" readingOrder="0" shrinkToFit="0" vertical="center" wrapText="1"/>
    </xf>
    <xf borderId="9" fillId="16" fontId="11" numFmtId="0" xfId="0" applyAlignment="1" applyBorder="1" applyFont="1">
      <alignment horizontal="center" readingOrder="0" shrinkToFit="0" vertical="center" wrapText="1"/>
    </xf>
    <xf borderId="9" fillId="16" fontId="10" numFmtId="0" xfId="0" applyAlignment="1" applyBorder="1" applyFont="1">
      <alignment horizontal="center" shrinkToFit="0" vertical="center" wrapText="1"/>
    </xf>
    <xf borderId="9" fillId="16" fontId="10" numFmtId="164" xfId="0" applyAlignment="1" applyBorder="1" applyFont="1" applyNumberFormat="1">
      <alignment horizontal="center" readingOrder="0" shrinkToFit="0" vertical="center" wrapText="1"/>
    </xf>
    <xf borderId="9" fillId="16" fontId="10" numFmtId="49" xfId="0" applyAlignment="1" applyBorder="1" applyFont="1" applyNumberFormat="1">
      <alignment horizontal="center" shrinkToFit="0" vertical="center" wrapText="1"/>
    </xf>
    <xf borderId="9" fillId="16" fontId="10" numFmtId="49" xfId="0" applyAlignment="1" applyBorder="1" applyFont="1" applyNumberFormat="1">
      <alignment horizontal="center" readingOrder="0" shrinkToFit="0" vertical="center" wrapText="1"/>
    </xf>
    <xf borderId="9" fillId="16" fontId="10" numFmtId="0" xfId="0" applyAlignment="1" applyBorder="1" applyFont="1">
      <alignment horizontal="left" readingOrder="0" shrinkToFit="0" vertical="center" wrapText="1"/>
    </xf>
    <xf borderId="9" fillId="16" fontId="10" numFmtId="0" xfId="0" applyAlignment="1" applyBorder="1" applyFont="1">
      <alignment horizontal="center" readingOrder="0" shrinkToFit="0" vertical="center" wrapText="1"/>
    </xf>
    <xf borderId="9" fillId="16" fontId="12" numFmtId="0" xfId="0" applyAlignment="1" applyBorder="1" applyFont="1">
      <alignment horizontal="left" shrinkToFit="0" vertical="center" wrapText="1"/>
    </xf>
    <xf borderId="9" fillId="16" fontId="12" numFmtId="4" xfId="0" applyAlignment="1" applyBorder="1" applyFont="1" applyNumberFormat="1">
      <alignment horizontal="center" shrinkToFit="0" vertical="center" wrapText="1"/>
    </xf>
    <xf borderId="9" fillId="16" fontId="12" numFmtId="165" xfId="0" applyAlignment="1" applyBorder="1" applyFont="1" applyNumberFormat="1">
      <alignment horizontal="center" shrinkToFit="0" vertical="center" wrapText="1"/>
    </xf>
    <xf borderId="12" fillId="17" fontId="13" numFmtId="166" xfId="0" applyAlignment="1" applyBorder="1" applyFill="1" applyFont="1" applyNumberFormat="1">
      <alignment horizontal="center" shrinkToFit="0" vertical="center" wrapText="1"/>
    </xf>
    <xf borderId="9" fillId="18" fontId="10" numFmtId="4" xfId="0" applyAlignment="1" applyBorder="1" applyFill="1" applyFont="1" applyNumberFormat="1">
      <alignment horizontal="center" readingOrder="0" shrinkToFit="0" vertical="center" wrapText="1"/>
    </xf>
    <xf borderId="9" fillId="18" fontId="10" numFmtId="0" xfId="0" applyAlignment="1" applyBorder="1" applyFont="1">
      <alignment horizontal="center" shrinkToFit="0" vertical="center" wrapText="1"/>
    </xf>
    <xf borderId="9" fillId="18" fontId="10" numFmtId="4" xfId="0" applyAlignment="1" applyBorder="1" applyFont="1" applyNumberFormat="1">
      <alignment horizontal="center" shrinkToFit="0" vertical="center" wrapText="1"/>
    </xf>
    <xf borderId="9" fillId="18" fontId="10" numFmtId="0" xfId="0" applyAlignment="1" applyBorder="1" applyFont="1">
      <alignment horizontal="center" readingOrder="0" shrinkToFit="0" vertical="center" wrapText="1"/>
    </xf>
    <xf borderId="9" fillId="18" fontId="10" numFmtId="0" xfId="0" applyAlignment="1" applyBorder="1" applyFont="1">
      <alignment horizontal="left" readingOrder="0" shrinkToFit="0" vertical="center" wrapText="1"/>
    </xf>
    <xf borderId="9" fillId="18" fontId="12" numFmtId="0" xfId="0" applyAlignment="1" applyBorder="1" applyFont="1">
      <alignment horizontal="left" shrinkToFit="0" vertical="center" wrapText="1"/>
    </xf>
    <xf borderId="9" fillId="18" fontId="12" numFmtId="4" xfId="0" applyAlignment="1" applyBorder="1" applyFont="1" applyNumberFormat="1">
      <alignment horizontal="center" shrinkToFit="0" vertical="center" wrapText="1"/>
    </xf>
    <xf borderId="9" fillId="18" fontId="12" numFmtId="165" xfId="0" applyAlignment="1" applyBorder="1" applyFont="1" applyNumberFormat="1">
      <alignment horizontal="center" shrinkToFit="0" vertical="center" wrapText="1"/>
    </xf>
    <xf borderId="9" fillId="16" fontId="10" numFmtId="4" xfId="0" applyAlignment="1" applyBorder="1" applyFont="1" applyNumberFormat="1">
      <alignment horizontal="center" shrinkToFit="0" vertical="center" wrapText="1"/>
    </xf>
    <xf borderId="9" fillId="19" fontId="10" numFmtId="164" xfId="0" applyAlignment="1" applyBorder="1" applyFill="1" applyFont="1" applyNumberFormat="1">
      <alignment horizontal="center" readingOrder="0" shrinkToFit="0" vertical="center" wrapText="1"/>
    </xf>
    <xf borderId="9" fillId="19" fontId="10" numFmtId="4" xfId="0" applyAlignment="1" applyBorder="1" applyFont="1" applyNumberFormat="1">
      <alignment horizontal="center" readingOrder="0" shrinkToFit="0" vertical="center" wrapText="1"/>
    </xf>
    <xf borderId="9" fillId="16" fontId="12" numFmtId="0" xfId="0" applyAlignment="1" applyBorder="1" applyFont="1">
      <alignment horizontal="left" readingOrder="0" shrinkToFit="0" vertical="center" wrapText="1"/>
    </xf>
    <xf borderId="9" fillId="16" fontId="12" numFmtId="4" xfId="0" applyAlignment="1" applyBorder="1" applyFont="1" applyNumberFormat="1">
      <alignment horizontal="center" readingOrder="0" shrinkToFit="0" vertical="center" wrapText="1"/>
    </xf>
    <xf borderId="9" fillId="16" fontId="10" numFmtId="164" xfId="0" applyAlignment="1" applyBorder="1" applyFont="1" applyNumberFormat="1">
      <alignment horizontal="center" shrinkToFit="0" vertical="center" wrapText="1"/>
    </xf>
    <xf borderId="9" fillId="16" fontId="10" numFmtId="0" xfId="0" applyAlignment="1" applyBorder="1" applyFont="1">
      <alignment horizontal="left" shrinkToFit="0" vertical="center" wrapText="1"/>
    </xf>
    <xf borderId="9" fillId="16" fontId="12" numFmtId="0" xfId="0" applyAlignment="1" applyBorder="1" applyFont="1">
      <alignment horizontal="center" readingOrder="0" shrinkToFit="0" vertical="center" wrapText="1"/>
    </xf>
    <xf borderId="9" fillId="18" fontId="10" numFmtId="0" xfId="0" applyAlignment="1" applyBorder="1" applyFont="1">
      <alignment horizontal="left" shrinkToFit="0" vertical="center" wrapText="1"/>
    </xf>
    <xf borderId="9" fillId="15" fontId="14" numFmtId="0" xfId="0" applyAlignment="1" applyBorder="1" applyFont="1">
      <alignment horizontal="left" readingOrder="0" shrinkToFit="0" vertical="center" wrapText="1"/>
    </xf>
    <xf borderId="9" fillId="18" fontId="11" numFmtId="4" xfId="0" applyAlignment="1" applyBorder="1" applyFont="1" applyNumberFormat="1">
      <alignment horizontal="center" readingOrder="0" shrinkToFit="0" vertical="center" wrapText="1"/>
    </xf>
    <xf borderId="9" fillId="18" fontId="15" numFmtId="0" xfId="0" applyAlignment="1" applyBorder="1" applyFont="1">
      <alignment horizontal="left" readingOrder="0" shrinkToFit="0" vertical="center" wrapText="1"/>
    </xf>
    <xf borderId="9" fillId="18" fontId="15" numFmtId="4" xfId="0" applyAlignment="1" applyBorder="1" applyFont="1" applyNumberFormat="1">
      <alignment horizontal="center" readingOrder="0" shrinkToFit="0" vertical="center" wrapText="1"/>
    </xf>
    <xf borderId="9" fillId="15" fontId="9" numFmtId="0" xfId="0" applyAlignment="1" applyBorder="1" applyFont="1">
      <alignment horizontal="left" shrinkToFit="0" vertical="center" wrapText="1"/>
    </xf>
    <xf borderId="13" fillId="2" fontId="16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2" fillId="2" fontId="17" numFmtId="166" xfId="0" applyAlignment="1" applyBorder="1" applyFont="1" applyNumberFormat="1">
      <alignment horizontal="center" shrinkToFit="0" vertical="center" wrapText="1"/>
    </xf>
    <xf borderId="0" fillId="2" fontId="17" numFmtId="164" xfId="0" applyAlignment="1" applyFont="1" applyNumberFormat="1">
      <alignment horizontal="center" shrinkToFit="0" vertical="center" wrapText="1"/>
    </xf>
    <xf borderId="15" fillId="2" fontId="17" numFmtId="166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horizontal="left"/>
    </xf>
    <xf borderId="0" fillId="0" fontId="18" numFmtId="164" xfId="0" applyFont="1" applyNumberFormat="1"/>
    <xf borderId="1" fillId="2" fontId="19" numFmtId="0" xfId="0" applyAlignment="1" applyBorder="1" applyFont="1">
      <alignment horizontal="center" readingOrder="0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9" fillId="5" fontId="20" numFmtId="0" xfId="0" applyAlignment="1" applyBorder="1" applyFont="1">
      <alignment horizontal="left" shrinkToFit="0" vertical="center" wrapText="1"/>
    </xf>
    <xf borderId="9" fillId="15" fontId="21" numFmtId="166" xfId="0" applyAlignment="1" applyBorder="1" applyFont="1" applyNumberFormat="1">
      <alignment horizontal="center" shrinkToFit="0" vertical="center" wrapText="1"/>
    </xf>
    <xf borderId="9" fillId="20" fontId="10" numFmtId="0" xfId="0" applyAlignment="1" applyBorder="1" applyFill="1" applyFont="1">
      <alignment horizontal="center" shrinkToFit="0" vertical="center" wrapText="1"/>
    </xf>
    <xf borderId="9" fillId="20" fontId="10" numFmtId="166" xfId="0" applyAlignment="1" applyBorder="1" applyFont="1" applyNumberFormat="1">
      <alignment horizontal="center" shrinkToFit="0" vertical="center" wrapText="1"/>
    </xf>
    <xf borderId="9" fillId="20" fontId="10" numFmtId="167" xfId="0" applyAlignment="1" applyBorder="1" applyFont="1" applyNumberFormat="1">
      <alignment horizontal="center" shrinkToFit="0" vertical="center" wrapText="1"/>
    </xf>
    <xf borderId="9" fillId="6" fontId="20" numFmtId="0" xfId="0" applyAlignment="1" applyBorder="1" applyFont="1">
      <alignment horizontal="left" shrinkToFit="0" vertical="center" wrapText="1"/>
    </xf>
    <xf borderId="9" fillId="7" fontId="20" numFmtId="0" xfId="0" applyAlignment="1" applyBorder="1" applyFont="1">
      <alignment horizontal="left" shrinkToFit="0" vertical="center" wrapText="1"/>
    </xf>
    <xf borderId="9" fillId="8" fontId="20" numFmtId="0" xfId="0" applyAlignment="1" applyBorder="1" applyFont="1">
      <alignment horizontal="left" shrinkToFit="0" vertical="center" wrapText="1"/>
    </xf>
    <xf borderId="9" fillId="9" fontId="20" numFmtId="0" xfId="0" applyAlignment="1" applyBorder="1" applyFont="1">
      <alignment horizontal="left" shrinkToFit="0" vertical="center" wrapText="1"/>
    </xf>
    <xf borderId="9" fillId="10" fontId="20" numFmtId="0" xfId="0" applyAlignment="1" applyBorder="1" applyFont="1">
      <alignment horizontal="left" shrinkToFit="0" vertical="center" wrapText="1"/>
    </xf>
    <xf borderId="9" fillId="11" fontId="20" numFmtId="0" xfId="0" applyAlignment="1" applyBorder="1" applyFont="1">
      <alignment horizontal="left" vertical="center"/>
    </xf>
    <xf borderId="9" fillId="16" fontId="21" numFmtId="166" xfId="0" applyAlignment="1" applyBorder="1" applyFont="1" applyNumberFormat="1">
      <alignment horizontal="center" shrinkToFit="0" vertical="center" wrapText="1"/>
    </xf>
    <xf borderId="9" fillId="16" fontId="12" numFmtId="0" xfId="0" applyAlignment="1" applyBorder="1" applyFont="1">
      <alignment horizontal="center" shrinkToFit="0" vertical="center" wrapText="1"/>
    </xf>
    <xf borderId="9" fillId="16" fontId="12" numFmtId="166" xfId="0" applyAlignment="1" applyBorder="1" applyFont="1" applyNumberFormat="1">
      <alignment horizontal="center" shrinkToFit="0" vertical="center" wrapText="1"/>
    </xf>
    <xf borderId="9" fillId="12" fontId="20" numFmtId="0" xfId="0" applyAlignment="1" applyBorder="1" applyFont="1">
      <alignment horizontal="left" vertical="center"/>
    </xf>
    <xf borderId="9" fillId="16" fontId="21" numFmtId="166" xfId="0" applyAlignment="1" applyBorder="1" applyFont="1" applyNumberFormat="1">
      <alignment horizontal="center" vertical="center"/>
    </xf>
    <xf borderId="9" fillId="16" fontId="12" numFmtId="0" xfId="0" applyAlignment="1" applyBorder="1" applyFont="1">
      <alignment horizontal="center" vertical="center"/>
    </xf>
    <xf borderId="9" fillId="16" fontId="12" numFmtId="166" xfId="0" applyAlignment="1" applyBorder="1" applyFont="1" applyNumberFormat="1">
      <alignment horizontal="center" vertical="center"/>
    </xf>
    <xf borderId="9" fillId="2" fontId="17" numFmtId="0" xfId="0" applyAlignment="1" applyBorder="1" applyFont="1">
      <alignment horizontal="left" shrinkToFit="0" vertical="center" wrapText="1"/>
    </xf>
    <xf borderId="9" fillId="3" fontId="13" numFmtId="166" xfId="0" applyAlignment="1" applyBorder="1" applyFont="1" applyNumberFormat="1">
      <alignment horizontal="center" shrinkToFit="0" vertical="center" wrapText="1"/>
    </xf>
    <xf borderId="1" fillId="2" fontId="19" numFmtId="0" xfId="0" applyAlignment="1" applyBorder="1" applyFont="1">
      <alignment horizontal="center" shrinkToFit="0" vertical="center" wrapText="1"/>
    </xf>
    <xf borderId="9" fillId="2" fontId="17" numFmtId="0" xfId="0" applyAlignment="1" applyBorder="1" applyFont="1">
      <alignment horizontal="center" shrinkToFit="0" vertical="center" wrapText="1"/>
    </xf>
    <xf borderId="9" fillId="3" fontId="13" numFmtId="0" xfId="0" applyAlignment="1" applyBorder="1" applyFont="1">
      <alignment horizontal="center" shrinkToFit="0" vertical="center" wrapText="1"/>
    </xf>
    <xf borderId="9" fillId="2" fontId="17" numFmtId="0" xfId="0" applyAlignment="1" applyBorder="1" applyFont="1">
      <alignment horizontal="center" vertical="center"/>
    </xf>
    <xf borderId="9" fillId="3" fontId="1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0"/>
    <col customWidth="1" min="2" max="2" width="37.57"/>
    <col customWidth="1" min="3" max="3" width="10.0"/>
    <col customWidth="1" min="4" max="4" width="15.0"/>
    <col customWidth="1" min="5" max="6" width="10.0"/>
    <col customWidth="1" min="7" max="7" width="12.29"/>
    <col customWidth="1" min="8" max="8" width="14.0"/>
    <col customWidth="1" min="9" max="9" width="10.0"/>
    <col customWidth="1" min="10" max="11" width="12.43"/>
    <col customWidth="1" min="12" max="12" width="8.0"/>
    <col customWidth="1" min="13" max="13" width="60.14"/>
    <col customWidth="1" min="14" max="14" width="10.0"/>
    <col customWidth="1" min="15" max="15" width="36.0"/>
    <col customWidth="1" min="16" max="16" width="33.0"/>
    <col customWidth="1" min="17" max="19" width="10.0"/>
    <col customWidth="1" min="20" max="20" width="8.0"/>
    <col customWidth="1" min="21" max="21" width="22.0"/>
    <col customWidth="1" min="22" max="22" width="10.0"/>
    <col customWidth="1" min="23" max="23" width="22.14"/>
    <col customWidth="1" min="24" max="24" width="13.0"/>
    <col customWidth="1" min="25" max="27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5.7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ht="30.0" customHeight="1">
      <c r="A4" s="6" t="s">
        <v>3</v>
      </c>
      <c r="B4" s="6" t="s">
        <v>4</v>
      </c>
      <c r="C4" s="7" t="s">
        <v>5</v>
      </c>
      <c r="D4" s="8"/>
      <c r="E4" s="9" t="s">
        <v>6</v>
      </c>
      <c r="F4" s="10" t="s">
        <v>7</v>
      </c>
      <c r="G4" s="11" t="s">
        <v>8</v>
      </c>
      <c r="H4" s="12" t="s">
        <v>9</v>
      </c>
      <c r="I4" s="13"/>
      <c r="J4" s="13"/>
      <c r="K4" s="13"/>
      <c r="L4" s="13"/>
      <c r="M4" s="8"/>
      <c r="N4" s="14" t="s">
        <v>10</v>
      </c>
      <c r="O4" s="8"/>
      <c r="P4" s="15" t="s">
        <v>11</v>
      </c>
      <c r="Q4" s="13"/>
      <c r="R4" s="13"/>
      <c r="S4" s="13"/>
      <c r="T4" s="8"/>
      <c r="U4" s="16" t="s">
        <v>12</v>
      </c>
      <c r="V4" s="17"/>
      <c r="W4" s="17"/>
      <c r="X4" s="6" t="s">
        <v>13</v>
      </c>
    </row>
    <row r="5" ht="29.25" customHeight="1">
      <c r="A5" s="18"/>
      <c r="B5" s="18"/>
      <c r="C5" s="19" t="s">
        <v>14</v>
      </c>
      <c r="D5" s="19" t="s">
        <v>15</v>
      </c>
      <c r="E5" s="18"/>
      <c r="F5" s="18"/>
      <c r="G5" s="18"/>
      <c r="H5" s="20" t="s">
        <v>16</v>
      </c>
      <c r="I5" s="20" t="s">
        <v>14</v>
      </c>
      <c r="J5" s="21" t="s">
        <v>17</v>
      </c>
      <c r="K5" s="20" t="s">
        <v>18</v>
      </c>
      <c r="L5" s="20" t="s">
        <v>19</v>
      </c>
      <c r="M5" s="22" t="s">
        <v>15</v>
      </c>
      <c r="N5" s="23" t="s">
        <v>14</v>
      </c>
      <c r="O5" s="23" t="s">
        <v>15</v>
      </c>
      <c r="P5" s="24" t="s">
        <v>20</v>
      </c>
      <c r="Q5" s="24" t="s">
        <v>14</v>
      </c>
      <c r="R5" s="24" t="s">
        <v>21</v>
      </c>
      <c r="S5" s="24" t="s">
        <v>18</v>
      </c>
      <c r="T5" s="24" t="s">
        <v>19</v>
      </c>
      <c r="U5" s="25"/>
      <c r="V5" s="17" t="s">
        <v>14</v>
      </c>
      <c r="W5" s="17" t="s">
        <v>22</v>
      </c>
      <c r="X5" s="18"/>
    </row>
    <row r="6" ht="13.5" customHeight="1">
      <c r="A6" s="26" t="s">
        <v>23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</row>
    <row r="7" ht="26.25" customHeight="1">
      <c r="A7" s="27">
        <v>1.0</v>
      </c>
      <c r="B7" s="28" t="s">
        <v>24</v>
      </c>
      <c r="C7" s="29">
        <v>4.0</v>
      </c>
      <c r="D7" s="30" t="s">
        <v>25</v>
      </c>
      <c r="E7" s="29">
        <v>0.0</v>
      </c>
      <c r="F7" s="29">
        <v>0.0</v>
      </c>
      <c r="G7" s="29">
        <v>0.0</v>
      </c>
      <c r="H7" s="31" t="s">
        <v>26</v>
      </c>
      <c r="I7" s="29">
        <v>350.0</v>
      </c>
      <c r="J7" s="32">
        <v>350.0</v>
      </c>
      <c r="K7" s="33" t="s">
        <v>27</v>
      </c>
      <c r="L7" s="34" t="s">
        <v>28</v>
      </c>
      <c r="M7" s="35" t="s">
        <v>29</v>
      </c>
      <c r="N7" s="29"/>
      <c r="O7" s="36"/>
      <c r="P7" s="37"/>
      <c r="Q7" s="38"/>
      <c r="R7" s="38"/>
      <c r="S7" s="38"/>
      <c r="T7" s="33"/>
      <c r="U7" s="37"/>
      <c r="V7" s="38"/>
      <c r="W7" s="39"/>
      <c r="X7" s="40">
        <f t="shared" ref="X7:X45" si="1">IFERROR(SUM(C7,E7,F7,G7,I7,N7,Q7,V7),0)</f>
        <v>354</v>
      </c>
    </row>
    <row r="8" ht="26.25" customHeight="1">
      <c r="A8" s="27">
        <v>2.0</v>
      </c>
      <c r="B8" s="28" t="s">
        <v>30</v>
      </c>
      <c r="C8" s="41">
        <v>60.0</v>
      </c>
      <c r="D8" s="42"/>
      <c r="E8" s="43"/>
      <c r="F8" s="43"/>
      <c r="G8" s="43"/>
      <c r="H8" s="44" t="s">
        <v>26</v>
      </c>
      <c r="I8" s="41">
        <v>800.0</v>
      </c>
      <c r="J8" s="32">
        <v>0.0</v>
      </c>
      <c r="K8" s="34" t="s">
        <v>27</v>
      </c>
      <c r="L8" s="34" t="s">
        <v>28</v>
      </c>
      <c r="M8" s="45" t="s">
        <v>31</v>
      </c>
      <c r="N8" s="41"/>
      <c r="O8" s="42"/>
      <c r="P8" s="46"/>
      <c r="Q8" s="47"/>
      <c r="R8" s="47"/>
      <c r="S8" s="47"/>
      <c r="T8" s="33"/>
      <c r="U8" s="46"/>
      <c r="V8" s="47"/>
      <c r="W8" s="48"/>
      <c r="X8" s="40">
        <f t="shared" si="1"/>
        <v>860</v>
      </c>
    </row>
    <row r="9" ht="26.25" customHeight="1">
      <c r="A9" s="27">
        <v>3.0</v>
      </c>
      <c r="B9" s="28" t="s">
        <v>32</v>
      </c>
      <c r="C9" s="29">
        <v>4.0</v>
      </c>
      <c r="D9" s="31"/>
      <c r="E9" s="49"/>
      <c r="F9" s="49"/>
      <c r="G9" s="29">
        <v>164.0</v>
      </c>
      <c r="H9" s="36" t="s">
        <v>26</v>
      </c>
      <c r="I9" s="29">
        <v>1839.96</v>
      </c>
      <c r="J9" s="50">
        <v>1073.31</v>
      </c>
      <c r="K9" s="34" t="s">
        <v>33</v>
      </c>
      <c r="L9" s="34" t="s">
        <v>34</v>
      </c>
      <c r="M9" s="35" t="s">
        <v>35</v>
      </c>
      <c r="N9" s="49"/>
      <c r="O9" s="31"/>
      <c r="P9" s="37"/>
      <c r="Q9" s="38"/>
      <c r="R9" s="38"/>
      <c r="S9" s="38"/>
      <c r="T9" s="33"/>
      <c r="U9" s="37"/>
      <c r="V9" s="38"/>
      <c r="W9" s="39"/>
      <c r="X9" s="40">
        <f t="shared" si="1"/>
        <v>2007.96</v>
      </c>
    </row>
    <row r="10" ht="26.25" customHeight="1">
      <c r="A10" s="27">
        <v>4.0</v>
      </c>
      <c r="B10" s="28" t="s">
        <v>36</v>
      </c>
      <c r="C10" s="41">
        <v>4.0</v>
      </c>
      <c r="D10" s="42"/>
      <c r="E10" s="43"/>
      <c r="F10" s="43"/>
      <c r="G10" s="43"/>
      <c r="H10" s="44" t="s">
        <v>26</v>
      </c>
      <c r="I10" s="41">
        <v>600.0</v>
      </c>
      <c r="J10" s="32">
        <v>0.0</v>
      </c>
      <c r="K10" s="34" t="s">
        <v>37</v>
      </c>
      <c r="L10" s="34" t="s">
        <v>38</v>
      </c>
      <c r="M10" s="45" t="s">
        <v>39</v>
      </c>
      <c r="N10" s="43"/>
      <c r="O10" s="42"/>
      <c r="P10" s="46"/>
      <c r="Q10" s="47"/>
      <c r="R10" s="47"/>
      <c r="S10" s="47"/>
      <c r="T10" s="33"/>
      <c r="U10" s="46"/>
      <c r="V10" s="47"/>
      <c r="W10" s="48"/>
      <c r="X10" s="40">
        <f t="shared" si="1"/>
        <v>604</v>
      </c>
    </row>
    <row r="11" ht="26.25" customHeight="1">
      <c r="A11" s="27">
        <v>5.0</v>
      </c>
      <c r="B11" s="28" t="s">
        <v>40</v>
      </c>
      <c r="C11" s="29">
        <v>12.0</v>
      </c>
      <c r="D11" s="31"/>
      <c r="E11" s="49"/>
      <c r="F11" s="49"/>
      <c r="G11" s="49"/>
      <c r="H11" s="36" t="s">
        <v>26</v>
      </c>
      <c r="I11" s="51">
        <v>2000.0</v>
      </c>
      <c r="J11" s="50">
        <v>666.67</v>
      </c>
      <c r="K11" s="34" t="s">
        <v>27</v>
      </c>
      <c r="L11" s="34" t="s">
        <v>41</v>
      </c>
      <c r="M11" s="35" t="s">
        <v>42</v>
      </c>
      <c r="N11" s="49"/>
      <c r="O11" s="31"/>
      <c r="P11" s="37"/>
      <c r="Q11" s="38"/>
      <c r="R11" s="38"/>
      <c r="S11" s="38"/>
      <c r="T11" s="33"/>
      <c r="U11" s="37"/>
      <c r="V11" s="38"/>
      <c r="W11" s="39"/>
      <c r="X11" s="40">
        <f t="shared" si="1"/>
        <v>2012</v>
      </c>
    </row>
    <row r="12" ht="26.25" customHeight="1">
      <c r="A12" s="27">
        <v>6.0</v>
      </c>
      <c r="B12" s="28" t="s">
        <v>43</v>
      </c>
      <c r="C12" s="41">
        <v>0.0</v>
      </c>
      <c r="D12" s="42"/>
      <c r="E12" s="43"/>
      <c r="F12" s="43"/>
      <c r="G12" s="43"/>
      <c r="H12" s="44" t="s">
        <v>26</v>
      </c>
      <c r="I12" s="41">
        <v>300.0</v>
      </c>
      <c r="J12" s="32">
        <v>0.0</v>
      </c>
      <c r="K12" s="34" t="s">
        <v>27</v>
      </c>
      <c r="L12" s="34" t="s">
        <v>28</v>
      </c>
      <c r="M12" s="45" t="s">
        <v>44</v>
      </c>
      <c r="N12" s="43"/>
      <c r="O12" s="42"/>
      <c r="P12" s="46"/>
      <c r="Q12" s="47"/>
      <c r="R12" s="47"/>
      <c r="S12" s="47"/>
      <c r="T12" s="33"/>
      <c r="U12" s="46"/>
      <c r="V12" s="47"/>
      <c r="W12" s="48"/>
      <c r="X12" s="40">
        <f t="shared" si="1"/>
        <v>300</v>
      </c>
    </row>
    <row r="13" ht="26.25" customHeight="1">
      <c r="A13" s="27">
        <v>7.0</v>
      </c>
      <c r="B13" s="28" t="s">
        <v>45</v>
      </c>
      <c r="C13" s="29">
        <v>0.0</v>
      </c>
      <c r="D13" s="31"/>
      <c r="E13" s="49"/>
      <c r="F13" s="49"/>
      <c r="G13" s="49"/>
      <c r="H13" s="36" t="s">
        <v>26</v>
      </c>
      <c r="I13" s="29"/>
      <c r="J13" s="32"/>
      <c r="K13" s="34"/>
      <c r="L13" s="34"/>
      <c r="M13" s="35"/>
      <c r="N13" s="49"/>
      <c r="O13" s="31"/>
      <c r="P13" s="52" t="s">
        <v>46</v>
      </c>
      <c r="Q13" s="53">
        <v>66.66</v>
      </c>
      <c r="R13" s="53">
        <v>22.22</v>
      </c>
      <c r="S13" s="53">
        <v>3.0</v>
      </c>
      <c r="T13" s="34" t="s">
        <v>28</v>
      </c>
      <c r="U13" s="37"/>
      <c r="V13" s="38"/>
      <c r="W13" s="39"/>
      <c r="X13" s="40">
        <f t="shared" si="1"/>
        <v>66.66</v>
      </c>
    </row>
    <row r="14" ht="26.25" customHeight="1">
      <c r="A14" s="27">
        <v>8.0</v>
      </c>
      <c r="B14" s="28" t="s">
        <v>40</v>
      </c>
      <c r="C14" s="41">
        <v>0.0</v>
      </c>
      <c r="D14" s="42"/>
      <c r="E14" s="43"/>
      <c r="F14" s="43"/>
      <c r="G14" s="43"/>
      <c r="H14" s="36" t="s">
        <v>26</v>
      </c>
      <c r="I14" s="51">
        <v>300.0</v>
      </c>
      <c r="J14" s="32">
        <v>0.0</v>
      </c>
      <c r="K14" s="34" t="s">
        <v>27</v>
      </c>
      <c r="L14" s="34" t="s">
        <v>28</v>
      </c>
      <c r="M14" s="45" t="s">
        <v>44</v>
      </c>
      <c r="N14" s="41"/>
      <c r="O14" s="42"/>
      <c r="P14" s="46"/>
      <c r="Q14" s="47"/>
      <c r="R14" s="47"/>
      <c r="S14" s="47"/>
      <c r="T14" s="33"/>
      <c r="U14" s="46"/>
      <c r="V14" s="47"/>
      <c r="W14" s="48"/>
      <c r="X14" s="40">
        <f t="shared" si="1"/>
        <v>300</v>
      </c>
    </row>
    <row r="15" ht="26.25" customHeight="1">
      <c r="A15" s="27">
        <v>9.0</v>
      </c>
      <c r="B15" s="28" t="s">
        <v>47</v>
      </c>
      <c r="C15" s="29">
        <v>0.0</v>
      </c>
      <c r="D15" s="31"/>
      <c r="E15" s="49"/>
      <c r="F15" s="49"/>
      <c r="G15" s="49"/>
      <c r="H15" s="36" t="s">
        <v>26</v>
      </c>
      <c r="I15" s="29">
        <v>200.0</v>
      </c>
      <c r="J15" s="32">
        <v>0.0</v>
      </c>
      <c r="K15" s="34" t="s">
        <v>48</v>
      </c>
      <c r="L15" s="34" t="s">
        <v>49</v>
      </c>
      <c r="M15" s="45" t="s">
        <v>44</v>
      </c>
      <c r="N15" s="49"/>
      <c r="O15" s="31"/>
      <c r="P15" s="37"/>
      <c r="Q15" s="38"/>
      <c r="R15" s="38"/>
      <c r="S15" s="38"/>
      <c r="T15" s="33"/>
      <c r="U15" s="37"/>
      <c r="V15" s="38"/>
      <c r="W15" s="39"/>
      <c r="X15" s="40">
        <f t="shared" si="1"/>
        <v>200</v>
      </c>
    </row>
    <row r="16" ht="26.25" customHeight="1">
      <c r="A16" s="27">
        <v>11.0</v>
      </c>
      <c r="B16" s="28" t="s">
        <v>50</v>
      </c>
      <c r="C16" s="29">
        <v>4.0</v>
      </c>
      <c r="D16" s="31"/>
      <c r="E16" s="49"/>
      <c r="F16" s="49"/>
      <c r="G16" s="49"/>
      <c r="H16" s="36" t="s">
        <v>51</v>
      </c>
      <c r="I16" s="49"/>
      <c r="J16" s="54"/>
      <c r="K16" s="33"/>
      <c r="L16" s="33"/>
      <c r="M16" s="55"/>
      <c r="N16" s="49"/>
      <c r="O16" s="31"/>
      <c r="P16" s="37"/>
      <c r="Q16" s="38"/>
      <c r="R16" s="38"/>
      <c r="S16" s="38"/>
      <c r="T16" s="33"/>
      <c r="U16" s="52" t="s">
        <v>52</v>
      </c>
      <c r="V16" s="53">
        <v>142.14</v>
      </c>
      <c r="W16" s="56" t="s">
        <v>53</v>
      </c>
      <c r="X16" s="40">
        <f t="shared" si="1"/>
        <v>146.14</v>
      </c>
    </row>
    <row r="17" ht="26.25" customHeight="1">
      <c r="A17" s="27">
        <v>12.0</v>
      </c>
      <c r="B17" s="28" t="s">
        <v>54</v>
      </c>
      <c r="C17" s="41">
        <v>4.0</v>
      </c>
      <c r="D17" s="42"/>
      <c r="E17" s="43"/>
      <c r="F17" s="43"/>
      <c r="G17" s="43"/>
      <c r="H17" s="44" t="s">
        <v>51</v>
      </c>
      <c r="I17" s="41">
        <v>300.0</v>
      </c>
      <c r="J17" s="32">
        <v>300.0</v>
      </c>
      <c r="K17" s="34" t="s">
        <v>27</v>
      </c>
      <c r="L17" s="33"/>
      <c r="M17" s="45" t="s">
        <v>55</v>
      </c>
      <c r="N17" s="43"/>
      <c r="O17" s="42"/>
      <c r="P17" s="46"/>
      <c r="Q17" s="47"/>
      <c r="R17" s="47"/>
      <c r="S17" s="47"/>
      <c r="T17" s="33"/>
      <c r="U17" s="46"/>
      <c r="V17" s="47"/>
      <c r="W17" s="48"/>
      <c r="X17" s="40">
        <f t="shared" si="1"/>
        <v>304</v>
      </c>
    </row>
    <row r="18" ht="26.25" customHeight="1">
      <c r="A18" s="27">
        <v>13.0</v>
      </c>
      <c r="B18" s="28" t="s">
        <v>56</v>
      </c>
      <c r="C18" s="29">
        <v>12.0</v>
      </c>
      <c r="D18" s="31"/>
      <c r="E18" s="29">
        <v>47.71</v>
      </c>
      <c r="F18" s="49"/>
      <c r="G18" s="49"/>
      <c r="H18" s="36" t="s">
        <v>51</v>
      </c>
      <c r="I18" s="49"/>
      <c r="J18" s="54"/>
      <c r="K18" s="33"/>
      <c r="L18" s="33"/>
      <c r="M18" s="55"/>
      <c r="N18" s="49"/>
      <c r="O18" s="31"/>
      <c r="P18" s="37"/>
      <c r="Q18" s="38"/>
      <c r="R18" s="38"/>
      <c r="S18" s="38"/>
      <c r="T18" s="33"/>
      <c r="U18" s="37"/>
      <c r="V18" s="38"/>
      <c r="W18" s="39"/>
      <c r="X18" s="40">
        <f t="shared" si="1"/>
        <v>59.71</v>
      </c>
    </row>
    <row r="19" ht="26.25" customHeight="1">
      <c r="A19" s="27">
        <v>14.0</v>
      </c>
      <c r="B19" s="28" t="s">
        <v>57</v>
      </c>
      <c r="C19" s="41">
        <v>0.0</v>
      </c>
      <c r="D19" s="42"/>
      <c r="E19" s="41">
        <v>93.08</v>
      </c>
      <c r="F19" s="43"/>
      <c r="G19" s="43"/>
      <c r="H19" s="44" t="s">
        <v>26</v>
      </c>
      <c r="I19" s="43"/>
      <c r="J19" s="54"/>
      <c r="K19" s="33"/>
      <c r="L19" s="33"/>
      <c r="M19" s="57"/>
      <c r="N19" s="43"/>
      <c r="O19" s="42"/>
      <c r="P19" s="46"/>
      <c r="Q19" s="47"/>
      <c r="R19" s="47"/>
      <c r="S19" s="47"/>
      <c r="T19" s="33"/>
      <c r="U19" s="46"/>
      <c r="V19" s="47"/>
      <c r="W19" s="48"/>
      <c r="X19" s="40">
        <f t="shared" si="1"/>
        <v>93.08</v>
      </c>
    </row>
    <row r="20" ht="26.25" customHeight="1">
      <c r="A20" s="27">
        <v>15.0</v>
      </c>
      <c r="B20" s="28" t="s">
        <v>36</v>
      </c>
      <c r="C20" s="29">
        <v>4.0</v>
      </c>
      <c r="D20" s="31"/>
      <c r="E20" s="29">
        <v>28.68</v>
      </c>
      <c r="F20" s="29">
        <v>16.7</v>
      </c>
      <c r="G20" s="49"/>
      <c r="H20" s="36" t="s">
        <v>51</v>
      </c>
      <c r="I20" s="49"/>
      <c r="J20" s="54"/>
      <c r="K20" s="33"/>
      <c r="L20" s="33"/>
      <c r="M20" s="55"/>
      <c r="N20" s="49"/>
      <c r="O20" s="31"/>
      <c r="P20" s="37"/>
      <c r="Q20" s="38"/>
      <c r="R20" s="38"/>
      <c r="S20" s="38"/>
      <c r="T20" s="33"/>
      <c r="U20" s="37"/>
      <c r="V20" s="38"/>
      <c r="W20" s="39"/>
      <c r="X20" s="40">
        <f t="shared" si="1"/>
        <v>49.38</v>
      </c>
    </row>
    <row r="21" ht="26.25" customHeight="1">
      <c r="A21" s="27">
        <v>16.0</v>
      </c>
      <c r="B21" s="58" t="s">
        <v>58</v>
      </c>
      <c r="C21" s="59">
        <v>20.0</v>
      </c>
      <c r="D21" s="42"/>
      <c r="E21" s="43"/>
      <c r="F21" s="43"/>
      <c r="G21" s="43"/>
      <c r="H21" s="44" t="s">
        <v>26</v>
      </c>
      <c r="I21" s="43"/>
      <c r="J21" s="54"/>
      <c r="K21" s="33"/>
      <c r="L21" s="33"/>
      <c r="M21" s="57"/>
      <c r="N21" s="43"/>
      <c r="O21" s="42"/>
      <c r="P21" s="46"/>
      <c r="Q21" s="47"/>
      <c r="R21" s="47"/>
      <c r="S21" s="47"/>
      <c r="T21" s="33"/>
      <c r="U21" s="60" t="s">
        <v>59</v>
      </c>
      <c r="V21" s="61">
        <v>22.22</v>
      </c>
      <c r="W21" s="48"/>
      <c r="X21" s="40">
        <f t="shared" si="1"/>
        <v>42.22</v>
      </c>
    </row>
    <row r="22" ht="26.25" customHeight="1">
      <c r="A22" s="27">
        <v>17.0</v>
      </c>
      <c r="B22" s="28" t="s">
        <v>60</v>
      </c>
      <c r="C22" s="49"/>
      <c r="D22" s="31"/>
      <c r="E22" s="49"/>
      <c r="F22" s="49"/>
      <c r="G22" s="49"/>
      <c r="H22" s="36" t="s">
        <v>61</v>
      </c>
      <c r="I22" s="29">
        <v>200.0</v>
      </c>
      <c r="J22" s="32">
        <v>0.0</v>
      </c>
      <c r="K22" s="34" t="s">
        <v>62</v>
      </c>
      <c r="L22" s="33"/>
      <c r="M22" s="35" t="s">
        <v>63</v>
      </c>
      <c r="N22" s="49"/>
      <c r="O22" s="31"/>
      <c r="P22" s="37"/>
      <c r="Q22" s="38"/>
      <c r="R22" s="38"/>
      <c r="S22" s="38"/>
      <c r="T22" s="33"/>
      <c r="U22" s="37"/>
      <c r="V22" s="38"/>
      <c r="W22" s="39"/>
      <c r="X22" s="40">
        <f t="shared" si="1"/>
        <v>200</v>
      </c>
    </row>
    <row r="23" ht="26.25" customHeight="1">
      <c r="A23" s="27">
        <v>18.0</v>
      </c>
      <c r="B23" s="62"/>
      <c r="C23" s="43"/>
      <c r="D23" s="42"/>
      <c r="E23" s="43"/>
      <c r="F23" s="43"/>
      <c r="G23" s="43"/>
      <c r="H23" s="42"/>
      <c r="I23" s="43"/>
      <c r="J23" s="54"/>
      <c r="K23" s="33"/>
      <c r="L23" s="33"/>
      <c r="M23" s="57"/>
      <c r="N23" s="43"/>
      <c r="O23" s="42"/>
      <c r="P23" s="46"/>
      <c r="Q23" s="47"/>
      <c r="R23" s="47"/>
      <c r="S23" s="47"/>
      <c r="T23" s="33"/>
      <c r="U23" s="46"/>
      <c r="V23" s="47"/>
      <c r="W23" s="48"/>
      <c r="X23" s="40">
        <f t="shared" si="1"/>
        <v>0</v>
      </c>
    </row>
    <row r="24" ht="26.25" customHeight="1">
      <c r="A24" s="27">
        <v>19.0</v>
      </c>
      <c r="B24" s="62"/>
      <c r="C24" s="49"/>
      <c r="D24" s="31"/>
      <c r="E24" s="49"/>
      <c r="F24" s="49"/>
      <c r="G24" s="49"/>
      <c r="H24" s="31"/>
      <c r="I24" s="49"/>
      <c r="J24" s="54"/>
      <c r="K24" s="33"/>
      <c r="L24" s="33"/>
      <c r="M24" s="55"/>
      <c r="N24" s="49"/>
      <c r="O24" s="31"/>
      <c r="P24" s="37"/>
      <c r="Q24" s="38"/>
      <c r="R24" s="38"/>
      <c r="S24" s="38"/>
      <c r="T24" s="33"/>
      <c r="U24" s="37"/>
      <c r="V24" s="38"/>
      <c r="W24" s="39"/>
      <c r="X24" s="40">
        <f t="shared" si="1"/>
        <v>0</v>
      </c>
    </row>
    <row r="25" ht="26.25" customHeight="1">
      <c r="A25" s="27">
        <v>20.0</v>
      </c>
      <c r="B25" s="62"/>
      <c r="C25" s="43"/>
      <c r="D25" s="42"/>
      <c r="E25" s="43"/>
      <c r="F25" s="43"/>
      <c r="G25" s="43"/>
      <c r="H25" s="42"/>
      <c r="I25" s="43"/>
      <c r="J25" s="54"/>
      <c r="K25" s="33"/>
      <c r="L25" s="33"/>
      <c r="M25" s="57"/>
      <c r="N25" s="43"/>
      <c r="O25" s="42"/>
      <c r="P25" s="46"/>
      <c r="Q25" s="47"/>
      <c r="R25" s="47"/>
      <c r="S25" s="47"/>
      <c r="T25" s="33"/>
      <c r="U25" s="46"/>
      <c r="V25" s="47"/>
      <c r="W25" s="48"/>
      <c r="X25" s="40">
        <f t="shared" si="1"/>
        <v>0</v>
      </c>
    </row>
    <row r="26" ht="26.25" customHeight="1">
      <c r="A26" s="27">
        <v>21.0</v>
      </c>
      <c r="B26" s="62"/>
      <c r="C26" s="49"/>
      <c r="D26" s="31"/>
      <c r="E26" s="49"/>
      <c r="F26" s="49"/>
      <c r="G26" s="49"/>
      <c r="H26" s="31"/>
      <c r="I26" s="49"/>
      <c r="J26" s="54"/>
      <c r="K26" s="33"/>
      <c r="L26" s="33"/>
      <c r="M26" s="55"/>
      <c r="N26" s="49"/>
      <c r="O26" s="31"/>
      <c r="P26" s="37"/>
      <c r="Q26" s="38"/>
      <c r="R26" s="38"/>
      <c r="S26" s="38"/>
      <c r="T26" s="33"/>
      <c r="U26" s="37"/>
      <c r="V26" s="38"/>
      <c r="W26" s="39"/>
      <c r="X26" s="40">
        <f t="shared" si="1"/>
        <v>0</v>
      </c>
    </row>
    <row r="27" ht="26.25" customHeight="1">
      <c r="A27" s="27">
        <v>22.0</v>
      </c>
      <c r="B27" s="62"/>
      <c r="C27" s="43"/>
      <c r="D27" s="42"/>
      <c r="E27" s="43"/>
      <c r="F27" s="43"/>
      <c r="G27" s="43"/>
      <c r="H27" s="42"/>
      <c r="I27" s="43"/>
      <c r="J27" s="54"/>
      <c r="K27" s="33"/>
      <c r="L27" s="33"/>
      <c r="M27" s="57"/>
      <c r="N27" s="43"/>
      <c r="O27" s="42"/>
      <c r="P27" s="46"/>
      <c r="Q27" s="47"/>
      <c r="R27" s="47"/>
      <c r="S27" s="47"/>
      <c r="T27" s="33"/>
      <c r="U27" s="46"/>
      <c r="V27" s="47"/>
      <c r="W27" s="48"/>
      <c r="X27" s="40">
        <f t="shared" si="1"/>
        <v>0</v>
      </c>
    </row>
    <row r="28" ht="26.25" customHeight="1">
      <c r="A28" s="27">
        <v>23.0</v>
      </c>
      <c r="B28" s="62"/>
      <c r="C28" s="49"/>
      <c r="D28" s="31"/>
      <c r="E28" s="49"/>
      <c r="F28" s="49"/>
      <c r="G28" s="49"/>
      <c r="H28" s="31"/>
      <c r="I28" s="49"/>
      <c r="J28" s="54"/>
      <c r="K28" s="33"/>
      <c r="L28" s="33"/>
      <c r="M28" s="55"/>
      <c r="N28" s="49"/>
      <c r="O28" s="31"/>
      <c r="P28" s="37"/>
      <c r="Q28" s="38"/>
      <c r="R28" s="38"/>
      <c r="S28" s="38"/>
      <c r="T28" s="33"/>
      <c r="U28" s="37"/>
      <c r="V28" s="38"/>
      <c r="W28" s="39"/>
      <c r="X28" s="40">
        <f t="shared" si="1"/>
        <v>0</v>
      </c>
    </row>
    <row r="29" ht="26.25" customHeight="1">
      <c r="A29" s="27">
        <v>24.0</v>
      </c>
      <c r="B29" s="62"/>
      <c r="C29" s="43"/>
      <c r="D29" s="42"/>
      <c r="E29" s="43"/>
      <c r="F29" s="43"/>
      <c r="G29" s="43"/>
      <c r="H29" s="42"/>
      <c r="I29" s="43"/>
      <c r="J29" s="54"/>
      <c r="K29" s="33"/>
      <c r="L29" s="33"/>
      <c r="M29" s="57"/>
      <c r="N29" s="43"/>
      <c r="O29" s="42"/>
      <c r="P29" s="46"/>
      <c r="Q29" s="47"/>
      <c r="R29" s="47"/>
      <c r="S29" s="47"/>
      <c r="T29" s="33"/>
      <c r="U29" s="46"/>
      <c r="V29" s="47"/>
      <c r="W29" s="48"/>
      <c r="X29" s="40">
        <f t="shared" si="1"/>
        <v>0</v>
      </c>
    </row>
    <row r="30" ht="26.25" customHeight="1">
      <c r="A30" s="27">
        <v>25.0</v>
      </c>
      <c r="B30" s="62"/>
      <c r="C30" s="49"/>
      <c r="D30" s="31"/>
      <c r="E30" s="49"/>
      <c r="F30" s="49"/>
      <c r="G30" s="49"/>
      <c r="H30" s="31"/>
      <c r="I30" s="49"/>
      <c r="J30" s="54"/>
      <c r="K30" s="33"/>
      <c r="L30" s="33"/>
      <c r="M30" s="55"/>
      <c r="N30" s="49"/>
      <c r="O30" s="31"/>
      <c r="P30" s="37"/>
      <c r="Q30" s="38"/>
      <c r="R30" s="38"/>
      <c r="S30" s="38"/>
      <c r="T30" s="33"/>
      <c r="U30" s="37"/>
      <c r="V30" s="38"/>
      <c r="W30" s="39"/>
      <c r="X30" s="40">
        <f t="shared" si="1"/>
        <v>0</v>
      </c>
    </row>
    <row r="31" ht="26.25" customHeight="1">
      <c r="A31" s="27">
        <v>26.0</v>
      </c>
      <c r="B31" s="62"/>
      <c r="C31" s="43"/>
      <c r="D31" s="42"/>
      <c r="E31" s="43"/>
      <c r="F31" s="43"/>
      <c r="G31" s="43"/>
      <c r="H31" s="42"/>
      <c r="I31" s="43"/>
      <c r="J31" s="54"/>
      <c r="K31" s="33"/>
      <c r="L31" s="33"/>
      <c r="M31" s="57"/>
      <c r="N31" s="43"/>
      <c r="O31" s="42"/>
      <c r="P31" s="46"/>
      <c r="Q31" s="47"/>
      <c r="R31" s="47"/>
      <c r="S31" s="47"/>
      <c r="T31" s="33"/>
      <c r="U31" s="46"/>
      <c r="V31" s="47"/>
      <c r="W31" s="48"/>
      <c r="X31" s="40">
        <f t="shared" si="1"/>
        <v>0</v>
      </c>
    </row>
    <row r="32" ht="26.25" customHeight="1">
      <c r="A32" s="27">
        <v>27.0</v>
      </c>
      <c r="B32" s="62"/>
      <c r="C32" s="49"/>
      <c r="D32" s="31"/>
      <c r="E32" s="49"/>
      <c r="F32" s="49"/>
      <c r="G32" s="49"/>
      <c r="H32" s="31"/>
      <c r="I32" s="49"/>
      <c r="J32" s="54"/>
      <c r="K32" s="33"/>
      <c r="L32" s="33"/>
      <c r="M32" s="55"/>
      <c r="N32" s="49"/>
      <c r="O32" s="31"/>
      <c r="P32" s="37"/>
      <c r="Q32" s="38"/>
      <c r="R32" s="38"/>
      <c r="S32" s="38"/>
      <c r="T32" s="33"/>
      <c r="U32" s="37"/>
      <c r="V32" s="38"/>
      <c r="W32" s="39"/>
      <c r="X32" s="40">
        <f t="shared" si="1"/>
        <v>0</v>
      </c>
    </row>
    <row r="33" ht="26.25" customHeight="1">
      <c r="A33" s="27">
        <v>28.0</v>
      </c>
      <c r="B33" s="62"/>
      <c r="C33" s="43"/>
      <c r="D33" s="42"/>
      <c r="E33" s="43"/>
      <c r="F33" s="43"/>
      <c r="G33" s="43"/>
      <c r="H33" s="42"/>
      <c r="I33" s="43"/>
      <c r="J33" s="54"/>
      <c r="K33" s="33"/>
      <c r="L33" s="33"/>
      <c r="M33" s="57"/>
      <c r="N33" s="43"/>
      <c r="O33" s="42"/>
      <c r="P33" s="46"/>
      <c r="Q33" s="47"/>
      <c r="R33" s="47"/>
      <c r="S33" s="47"/>
      <c r="T33" s="33"/>
      <c r="U33" s="46"/>
      <c r="V33" s="47"/>
      <c r="W33" s="48"/>
      <c r="X33" s="40">
        <f t="shared" si="1"/>
        <v>0</v>
      </c>
    </row>
    <row r="34" ht="26.25" customHeight="1">
      <c r="A34" s="27">
        <v>29.0</v>
      </c>
      <c r="B34" s="62"/>
      <c r="C34" s="49"/>
      <c r="D34" s="31"/>
      <c r="E34" s="49"/>
      <c r="F34" s="49"/>
      <c r="G34" s="49"/>
      <c r="H34" s="31"/>
      <c r="I34" s="49"/>
      <c r="J34" s="54"/>
      <c r="K34" s="33"/>
      <c r="L34" s="33"/>
      <c r="M34" s="55"/>
      <c r="N34" s="49"/>
      <c r="O34" s="31"/>
      <c r="P34" s="37"/>
      <c r="Q34" s="38"/>
      <c r="R34" s="38"/>
      <c r="S34" s="38"/>
      <c r="T34" s="33"/>
      <c r="U34" s="37"/>
      <c r="V34" s="38"/>
      <c r="W34" s="39"/>
      <c r="X34" s="40">
        <f t="shared" si="1"/>
        <v>0</v>
      </c>
    </row>
    <row r="35" ht="26.25" customHeight="1">
      <c r="A35" s="27">
        <v>30.0</v>
      </c>
      <c r="B35" s="62"/>
      <c r="C35" s="43"/>
      <c r="D35" s="42"/>
      <c r="E35" s="43"/>
      <c r="F35" s="43"/>
      <c r="G35" s="43"/>
      <c r="H35" s="42"/>
      <c r="I35" s="43"/>
      <c r="J35" s="54"/>
      <c r="K35" s="33"/>
      <c r="L35" s="33"/>
      <c r="M35" s="57"/>
      <c r="N35" s="43"/>
      <c r="O35" s="42"/>
      <c r="P35" s="46"/>
      <c r="Q35" s="47"/>
      <c r="R35" s="47"/>
      <c r="S35" s="47"/>
      <c r="T35" s="33"/>
      <c r="U35" s="46"/>
      <c r="V35" s="47"/>
      <c r="W35" s="48"/>
      <c r="X35" s="40">
        <f t="shared" si="1"/>
        <v>0</v>
      </c>
    </row>
    <row r="36" ht="26.25" customHeight="1">
      <c r="A36" s="27">
        <v>31.0</v>
      </c>
      <c r="B36" s="62"/>
      <c r="C36" s="49"/>
      <c r="D36" s="31"/>
      <c r="E36" s="49"/>
      <c r="F36" s="49"/>
      <c r="G36" s="49"/>
      <c r="H36" s="31"/>
      <c r="I36" s="49"/>
      <c r="J36" s="54"/>
      <c r="K36" s="33"/>
      <c r="L36" s="33"/>
      <c r="M36" s="55"/>
      <c r="N36" s="49"/>
      <c r="O36" s="31"/>
      <c r="P36" s="37"/>
      <c r="Q36" s="38"/>
      <c r="R36" s="38"/>
      <c r="S36" s="38"/>
      <c r="T36" s="33"/>
      <c r="U36" s="37"/>
      <c r="V36" s="38"/>
      <c r="W36" s="39"/>
      <c r="X36" s="40">
        <f t="shared" si="1"/>
        <v>0</v>
      </c>
    </row>
    <row r="37" ht="26.25" customHeight="1">
      <c r="A37" s="27">
        <v>32.0</v>
      </c>
      <c r="B37" s="62"/>
      <c r="C37" s="43"/>
      <c r="D37" s="42"/>
      <c r="E37" s="43"/>
      <c r="F37" s="43"/>
      <c r="G37" s="43"/>
      <c r="H37" s="42"/>
      <c r="I37" s="43"/>
      <c r="J37" s="54"/>
      <c r="K37" s="33"/>
      <c r="L37" s="33"/>
      <c r="M37" s="57"/>
      <c r="N37" s="43"/>
      <c r="O37" s="42"/>
      <c r="P37" s="46"/>
      <c r="Q37" s="47"/>
      <c r="R37" s="47"/>
      <c r="S37" s="47"/>
      <c r="T37" s="33"/>
      <c r="U37" s="46"/>
      <c r="V37" s="47"/>
      <c r="W37" s="48"/>
      <c r="X37" s="40">
        <f t="shared" si="1"/>
        <v>0</v>
      </c>
    </row>
    <row r="38" ht="26.25" customHeight="1">
      <c r="A38" s="27">
        <v>33.0</v>
      </c>
      <c r="B38" s="62"/>
      <c r="C38" s="49"/>
      <c r="D38" s="31"/>
      <c r="E38" s="49"/>
      <c r="F38" s="49"/>
      <c r="G38" s="49"/>
      <c r="H38" s="31"/>
      <c r="I38" s="49"/>
      <c r="J38" s="54"/>
      <c r="K38" s="33"/>
      <c r="L38" s="33"/>
      <c r="M38" s="55"/>
      <c r="N38" s="49"/>
      <c r="O38" s="31"/>
      <c r="P38" s="37"/>
      <c r="Q38" s="38"/>
      <c r="R38" s="38"/>
      <c r="S38" s="38"/>
      <c r="T38" s="33"/>
      <c r="U38" s="37"/>
      <c r="V38" s="38"/>
      <c r="W38" s="39"/>
      <c r="X38" s="40">
        <f t="shared" si="1"/>
        <v>0</v>
      </c>
    </row>
    <row r="39" ht="26.25" customHeight="1">
      <c r="A39" s="27">
        <v>34.0</v>
      </c>
      <c r="B39" s="62"/>
      <c r="C39" s="43"/>
      <c r="D39" s="42"/>
      <c r="E39" s="43"/>
      <c r="F39" s="43"/>
      <c r="G39" s="43"/>
      <c r="H39" s="42"/>
      <c r="I39" s="43"/>
      <c r="J39" s="54"/>
      <c r="K39" s="33"/>
      <c r="L39" s="33"/>
      <c r="M39" s="57"/>
      <c r="N39" s="43"/>
      <c r="O39" s="42"/>
      <c r="P39" s="46"/>
      <c r="Q39" s="47"/>
      <c r="R39" s="47"/>
      <c r="S39" s="47"/>
      <c r="T39" s="33"/>
      <c r="U39" s="46"/>
      <c r="V39" s="47"/>
      <c r="W39" s="48"/>
      <c r="X39" s="40">
        <f t="shared" si="1"/>
        <v>0</v>
      </c>
    </row>
    <row r="40" ht="26.25" customHeight="1">
      <c r="A40" s="27">
        <v>35.0</v>
      </c>
      <c r="B40" s="62"/>
      <c r="C40" s="49"/>
      <c r="D40" s="31"/>
      <c r="E40" s="49"/>
      <c r="F40" s="49"/>
      <c r="G40" s="49"/>
      <c r="H40" s="31"/>
      <c r="I40" s="49"/>
      <c r="J40" s="54"/>
      <c r="K40" s="33"/>
      <c r="L40" s="33"/>
      <c r="M40" s="55"/>
      <c r="N40" s="49"/>
      <c r="O40" s="31"/>
      <c r="P40" s="37"/>
      <c r="Q40" s="38"/>
      <c r="R40" s="38"/>
      <c r="S40" s="38"/>
      <c r="T40" s="33"/>
      <c r="U40" s="37"/>
      <c r="V40" s="38"/>
      <c r="W40" s="39"/>
      <c r="X40" s="40">
        <f t="shared" si="1"/>
        <v>0</v>
      </c>
    </row>
    <row r="41" ht="26.25" customHeight="1">
      <c r="A41" s="27">
        <v>36.0</v>
      </c>
      <c r="B41" s="62"/>
      <c r="C41" s="43"/>
      <c r="D41" s="42"/>
      <c r="E41" s="43"/>
      <c r="F41" s="43"/>
      <c r="G41" s="43"/>
      <c r="H41" s="42"/>
      <c r="I41" s="43"/>
      <c r="J41" s="54"/>
      <c r="K41" s="33"/>
      <c r="L41" s="33"/>
      <c r="M41" s="57"/>
      <c r="N41" s="43"/>
      <c r="O41" s="42"/>
      <c r="P41" s="46"/>
      <c r="Q41" s="47"/>
      <c r="R41" s="47"/>
      <c r="S41" s="47"/>
      <c r="T41" s="33"/>
      <c r="U41" s="46"/>
      <c r="V41" s="47"/>
      <c r="W41" s="48"/>
      <c r="X41" s="40">
        <f t="shared" si="1"/>
        <v>0</v>
      </c>
    </row>
    <row r="42" ht="26.25" customHeight="1">
      <c r="A42" s="27">
        <v>37.0</v>
      </c>
      <c r="B42" s="62"/>
      <c r="C42" s="49"/>
      <c r="D42" s="31"/>
      <c r="E42" s="49"/>
      <c r="F42" s="49"/>
      <c r="G42" s="49"/>
      <c r="H42" s="31"/>
      <c r="I42" s="49"/>
      <c r="J42" s="54"/>
      <c r="K42" s="33"/>
      <c r="L42" s="33"/>
      <c r="M42" s="55"/>
      <c r="N42" s="49"/>
      <c r="O42" s="31"/>
      <c r="P42" s="37"/>
      <c r="Q42" s="38"/>
      <c r="R42" s="38"/>
      <c r="S42" s="38"/>
      <c r="T42" s="33"/>
      <c r="U42" s="37"/>
      <c r="V42" s="38"/>
      <c r="W42" s="39"/>
      <c r="X42" s="40">
        <f t="shared" si="1"/>
        <v>0</v>
      </c>
    </row>
    <row r="43" ht="26.25" customHeight="1">
      <c r="A43" s="27">
        <v>38.0</v>
      </c>
      <c r="B43" s="62"/>
      <c r="C43" s="43"/>
      <c r="D43" s="42"/>
      <c r="E43" s="43"/>
      <c r="F43" s="43"/>
      <c r="G43" s="43"/>
      <c r="H43" s="42"/>
      <c r="I43" s="43"/>
      <c r="J43" s="54"/>
      <c r="K43" s="33"/>
      <c r="L43" s="33"/>
      <c r="M43" s="57"/>
      <c r="N43" s="43"/>
      <c r="O43" s="42"/>
      <c r="P43" s="46"/>
      <c r="Q43" s="47"/>
      <c r="R43" s="47"/>
      <c r="S43" s="47"/>
      <c r="T43" s="33"/>
      <c r="U43" s="46"/>
      <c r="V43" s="47"/>
      <c r="W43" s="48"/>
      <c r="X43" s="40">
        <f t="shared" si="1"/>
        <v>0</v>
      </c>
    </row>
    <row r="44" ht="26.25" customHeight="1">
      <c r="A44" s="27">
        <v>39.0</v>
      </c>
      <c r="B44" s="62"/>
      <c r="C44" s="49"/>
      <c r="D44" s="31"/>
      <c r="E44" s="49"/>
      <c r="F44" s="49"/>
      <c r="G44" s="49"/>
      <c r="H44" s="31"/>
      <c r="I44" s="49"/>
      <c r="J44" s="54"/>
      <c r="K44" s="33"/>
      <c r="L44" s="33"/>
      <c r="M44" s="55"/>
      <c r="N44" s="49"/>
      <c r="O44" s="31"/>
      <c r="P44" s="37"/>
      <c r="Q44" s="38"/>
      <c r="R44" s="38"/>
      <c r="S44" s="38"/>
      <c r="T44" s="33"/>
      <c r="U44" s="37"/>
      <c r="V44" s="38"/>
      <c r="W44" s="39"/>
      <c r="X44" s="40">
        <f t="shared" si="1"/>
        <v>0</v>
      </c>
    </row>
    <row r="45" ht="26.25" customHeight="1">
      <c r="A45" s="27">
        <v>40.0</v>
      </c>
      <c r="B45" s="62"/>
      <c r="C45" s="43"/>
      <c r="D45" s="42"/>
      <c r="E45" s="43"/>
      <c r="F45" s="43"/>
      <c r="G45" s="43"/>
      <c r="H45" s="42"/>
      <c r="I45" s="43"/>
      <c r="J45" s="54"/>
      <c r="K45" s="33"/>
      <c r="L45" s="33"/>
      <c r="M45" s="57"/>
      <c r="N45" s="43"/>
      <c r="O45" s="42"/>
      <c r="P45" s="46"/>
      <c r="Q45" s="47"/>
      <c r="R45" s="47"/>
      <c r="S45" s="47"/>
      <c r="T45" s="33"/>
      <c r="U45" s="46"/>
      <c r="V45" s="47"/>
      <c r="W45" s="48"/>
      <c r="X45" s="40">
        <f t="shared" si="1"/>
        <v>0</v>
      </c>
    </row>
    <row r="46" ht="21.75" customHeight="1">
      <c r="A46" s="63" t="s">
        <v>64</v>
      </c>
      <c r="B46" s="64"/>
      <c r="C46" s="65">
        <f>SUM(C7:C45)</f>
        <v>128</v>
      </c>
      <c r="E46" s="65">
        <f t="shared" ref="E46:G46" si="2">SUM(E7:E45)</f>
        <v>169.47</v>
      </c>
      <c r="F46" s="65">
        <f t="shared" si="2"/>
        <v>16.7</v>
      </c>
      <c r="G46" s="65">
        <f t="shared" si="2"/>
        <v>164</v>
      </c>
      <c r="I46" s="65">
        <f>SUM(I7:I45)</f>
        <v>6889.96</v>
      </c>
      <c r="J46" s="66"/>
      <c r="K46" s="67"/>
      <c r="M46" s="68"/>
      <c r="N46" s="65">
        <f>SUM(N7:N45)</f>
        <v>0</v>
      </c>
      <c r="Q46" s="65">
        <f>SUM(Q7:Q45)</f>
        <v>66.66</v>
      </c>
      <c r="R46" s="67"/>
      <c r="S46" s="67"/>
      <c r="V46" s="65">
        <f>SUM(V7:V45)</f>
        <v>164.36</v>
      </c>
      <c r="X46" s="65">
        <f>SUM(X7:X45)</f>
        <v>7599.15</v>
      </c>
    </row>
    <row r="47" ht="14.25" customHeight="1">
      <c r="J47" s="69"/>
      <c r="M47" s="68"/>
    </row>
    <row r="48" ht="14.25" customHeight="1">
      <c r="J48" s="69"/>
      <c r="M48" s="68"/>
    </row>
    <row r="49" ht="14.25" customHeight="1">
      <c r="J49" s="69"/>
      <c r="M49" s="68"/>
    </row>
    <row r="50" ht="14.25" customHeight="1">
      <c r="J50" s="69"/>
      <c r="M50" s="68"/>
    </row>
    <row r="51" ht="14.25" customHeight="1">
      <c r="J51" s="69"/>
      <c r="M51" s="68"/>
    </row>
    <row r="52" ht="14.25" customHeight="1">
      <c r="J52" s="69"/>
      <c r="M52" s="68"/>
    </row>
    <row r="53" ht="14.25" customHeight="1">
      <c r="J53" s="69"/>
      <c r="M53" s="68"/>
    </row>
    <row r="54" ht="14.25" customHeight="1">
      <c r="J54" s="69"/>
      <c r="M54" s="68"/>
    </row>
    <row r="55" ht="14.25" customHeight="1">
      <c r="J55" s="69"/>
      <c r="M55" s="68"/>
    </row>
    <row r="56" ht="14.25" customHeight="1">
      <c r="J56" s="69"/>
      <c r="M56" s="68"/>
    </row>
    <row r="57" ht="14.25" customHeight="1">
      <c r="J57" s="69"/>
      <c r="M57" s="68"/>
    </row>
    <row r="58" ht="14.25" customHeight="1">
      <c r="J58" s="69"/>
      <c r="M58" s="68"/>
    </row>
    <row r="59" ht="14.25" customHeight="1">
      <c r="J59" s="69"/>
      <c r="M59" s="68"/>
    </row>
    <row r="60" ht="14.25" customHeight="1">
      <c r="J60" s="69"/>
      <c r="M60" s="68"/>
    </row>
    <row r="61" ht="14.25" customHeight="1">
      <c r="J61" s="69"/>
      <c r="M61" s="68"/>
    </row>
    <row r="62" ht="14.25" customHeight="1">
      <c r="J62" s="69"/>
      <c r="M62" s="68"/>
    </row>
    <row r="63" ht="14.25" customHeight="1">
      <c r="J63" s="69"/>
      <c r="M63" s="68"/>
    </row>
    <row r="64" ht="14.25" customHeight="1">
      <c r="J64" s="69"/>
      <c r="M64" s="68"/>
    </row>
    <row r="65" ht="14.25" customHeight="1">
      <c r="J65" s="69"/>
      <c r="M65" s="68"/>
    </row>
    <row r="66" ht="14.25" customHeight="1">
      <c r="J66" s="69"/>
      <c r="M66" s="68"/>
    </row>
    <row r="67" ht="14.25" customHeight="1">
      <c r="J67" s="69"/>
      <c r="M67" s="68"/>
    </row>
    <row r="68" ht="14.25" customHeight="1">
      <c r="J68" s="69"/>
      <c r="M68" s="68"/>
    </row>
    <row r="69" ht="14.25" customHeight="1">
      <c r="J69" s="69"/>
      <c r="M69" s="68"/>
    </row>
    <row r="70" ht="14.25" customHeight="1">
      <c r="J70" s="69"/>
      <c r="M70" s="68"/>
    </row>
    <row r="71" ht="14.25" customHeight="1">
      <c r="J71" s="69"/>
      <c r="M71" s="68"/>
    </row>
    <row r="72" ht="14.25" customHeight="1">
      <c r="J72" s="69"/>
      <c r="M72" s="68"/>
    </row>
    <row r="73" ht="14.25" customHeight="1">
      <c r="J73" s="69"/>
      <c r="M73" s="68"/>
    </row>
    <row r="74" ht="14.25" customHeight="1">
      <c r="J74" s="69"/>
      <c r="M74" s="68"/>
    </row>
    <row r="75" ht="14.25" customHeight="1">
      <c r="J75" s="69"/>
      <c r="M75" s="68"/>
    </row>
    <row r="76" ht="14.25" customHeight="1">
      <c r="J76" s="69"/>
      <c r="M76" s="68"/>
    </row>
    <row r="77" ht="14.25" customHeight="1">
      <c r="J77" s="69"/>
      <c r="M77" s="68"/>
    </row>
    <row r="78" ht="14.25" customHeight="1">
      <c r="J78" s="69"/>
      <c r="M78" s="68"/>
    </row>
    <row r="79" ht="14.25" customHeight="1">
      <c r="J79" s="69"/>
      <c r="M79" s="68"/>
    </row>
    <row r="80" ht="14.25" customHeight="1">
      <c r="J80" s="69"/>
      <c r="M80" s="68"/>
    </row>
    <row r="81" ht="14.25" customHeight="1">
      <c r="J81" s="69"/>
      <c r="M81" s="68"/>
    </row>
    <row r="82" ht="14.25" customHeight="1">
      <c r="J82" s="69"/>
      <c r="M82" s="68"/>
    </row>
    <row r="83" ht="14.25" customHeight="1">
      <c r="J83" s="69"/>
      <c r="M83" s="68"/>
    </row>
    <row r="84" ht="14.25" customHeight="1">
      <c r="J84" s="69"/>
      <c r="M84" s="68"/>
    </row>
    <row r="85" ht="14.25" customHeight="1">
      <c r="J85" s="69"/>
      <c r="M85" s="68"/>
    </row>
    <row r="86" ht="14.25" customHeight="1">
      <c r="J86" s="69"/>
      <c r="M86" s="68"/>
    </row>
    <row r="87" ht="14.25" customHeight="1">
      <c r="J87" s="69"/>
      <c r="M87" s="68"/>
    </row>
    <row r="88" ht="14.25" customHeight="1">
      <c r="J88" s="69"/>
      <c r="M88" s="68"/>
    </row>
    <row r="89" ht="14.25" customHeight="1">
      <c r="J89" s="69"/>
      <c r="M89" s="68"/>
    </row>
    <row r="90" ht="14.25" customHeight="1">
      <c r="J90" s="69"/>
      <c r="M90" s="68"/>
    </row>
    <row r="91" ht="14.25" customHeight="1">
      <c r="J91" s="69"/>
      <c r="M91" s="68"/>
    </row>
    <row r="92" ht="14.25" customHeight="1">
      <c r="J92" s="69"/>
      <c r="M92" s="68"/>
    </row>
    <row r="93" ht="14.25" customHeight="1">
      <c r="J93" s="69"/>
      <c r="M93" s="68"/>
    </row>
    <row r="94" ht="14.25" customHeight="1">
      <c r="J94" s="69"/>
      <c r="M94" s="68"/>
    </row>
    <row r="95" ht="14.25" customHeight="1">
      <c r="J95" s="69"/>
      <c r="M95" s="68"/>
    </row>
    <row r="96" ht="14.25" customHeight="1">
      <c r="J96" s="69"/>
      <c r="M96" s="68"/>
    </row>
    <row r="97" ht="14.25" customHeight="1">
      <c r="J97" s="69"/>
      <c r="M97" s="68"/>
    </row>
    <row r="98" ht="14.25" customHeight="1">
      <c r="J98" s="69"/>
      <c r="M98" s="68"/>
    </row>
    <row r="99" ht="14.25" customHeight="1">
      <c r="J99" s="69"/>
      <c r="M99" s="68"/>
    </row>
    <row r="100" ht="14.25" customHeight="1">
      <c r="J100" s="69"/>
      <c r="M100" s="68"/>
    </row>
    <row r="101" ht="14.25" customHeight="1">
      <c r="J101" s="69"/>
      <c r="M101" s="68"/>
    </row>
    <row r="102" ht="14.25" customHeight="1">
      <c r="J102" s="69"/>
      <c r="M102" s="68"/>
    </row>
    <row r="103" ht="14.25" customHeight="1">
      <c r="J103" s="69"/>
      <c r="M103" s="68"/>
    </row>
    <row r="104" ht="14.25" customHeight="1">
      <c r="J104" s="69"/>
      <c r="M104" s="68"/>
    </row>
    <row r="105" ht="14.25" customHeight="1">
      <c r="J105" s="69"/>
      <c r="M105" s="68"/>
    </row>
    <row r="106" ht="14.25" customHeight="1">
      <c r="J106" s="69"/>
      <c r="M106" s="68"/>
    </row>
    <row r="107" ht="14.25" customHeight="1">
      <c r="J107" s="69"/>
      <c r="M107" s="68"/>
    </row>
    <row r="108" ht="14.25" customHeight="1">
      <c r="J108" s="69"/>
      <c r="M108" s="68"/>
    </row>
    <row r="109" ht="14.25" customHeight="1">
      <c r="J109" s="69"/>
      <c r="M109" s="68"/>
    </row>
    <row r="110" ht="14.25" customHeight="1">
      <c r="J110" s="69"/>
      <c r="M110" s="68"/>
    </row>
    <row r="111" ht="14.25" customHeight="1">
      <c r="J111" s="69"/>
      <c r="M111" s="68"/>
    </row>
    <row r="112" ht="14.25" customHeight="1">
      <c r="J112" s="69"/>
      <c r="M112" s="68"/>
    </row>
    <row r="113" ht="14.25" customHeight="1">
      <c r="J113" s="69"/>
      <c r="M113" s="68"/>
    </row>
    <row r="114" ht="14.25" customHeight="1">
      <c r="J114" s="69"/>
      <c r="M114" s="68"/>
    </row>
    <row r="115" ht="14.25" customHeight="1">
      <c r="J115" s="69"/>
      <c r="M115" s="68"/>
    </row>
    <row r="116" ht="14.25" customHeight="1">
      <c r="J116" s="69"/>
      <c r="M116" s="68"/>
    </row>
    <row r="117" ht="14.25" customHeight="1">
      <c r="J117" s="69"/>
      <c r="M117" s="68"/>
    </row>
    <row r="118" ht="14.25" customHeight="1">
      <c r="J118" s="69"/>
      <c r="M118" s="68"/>
    </row>
    <row r="119" ht="14.25" customHeight="1">
      <c r="J119" s="69"/>
      <c r="M119" s="68"/>
    </row>
    <row r="120" ht="14.25" customHeight="1">
      <c r="J120" s="69"/>
      <c r="M120" s="68"/>
    </row>
    <row r="121" ht="14.25" customHeight="1">
      <c r="J121" s="69"/>
      <c r="M121" s="68"/>
    </row>
    <row r="122" ht="14.25" customHeight="1">
      <c r="J122" s="69"/>
      <c r="M122" s="68"/>
    </row>
    <row r="123" ht="14.25" customHeight="1">
      <c r="J123" s="69"/>
      <c r="M123" s="68"/>
    </row>
    <row r="124" ht="14.25" customHeight="1">
      <c r="J124" s="69"/>
      <c r="M124" s="68"/>
    </row>
    <row r="125" ht="14.25" customHeight="1">
      <c r="J125" s="69"/>
      <c r="M125" s="68"/>
    </row>
    <row r="126" ht="14.25" customHeight="1">
      <c r="J126" s="69"/>
      <c r="M126" s="68"/>
    </row>
    <row r="127" ht="14.25" customHeight="1">
      <c r="J127" s="69"/>
      <c r="M127" s="68"/>
    </row>
    <row r="128" ht="14.25" customHeight="1">
      <c r="J128" s="69"/>
      <c r="M128" s="68"/>
    </row>
    <row r="129" ht="14.25" customHeight="1">
      <c r="J129" s="69"/>
      <c r="M129" s="68"/>
    </row>
    <row r="130" ht="14.25" customHeight="1">
      <c r="J130" s="69"/>
      <c r="M130" s="68"/>
    </row>
    <row r="131" ht="14.25" customHeight="1">
      <c r="J131" s="69"/>
      <c r="M131" s="68"/>
    </row>
    <row r="132" ht="14.25" customHeight="1">
      <c r="J132" s="69"/>
      <c r="M132" s="68"/>
    </row>
    <row r="133" ht="14.25" customHeight="1">
      <c r="J133" s="69"/>
      <c r="M133" s="68"/>
    </row>
    <row r="134" ht="14.25" customHeight="1">
      <c r="J134" s="69"/>
      <c r="M134" s="68"/>
    </row>
    <row r="135" ht="14.25" customHeight="1">
      <c r="J135" s="69"/>
      <c r="M135" s="68"/>
    </row>
    <row r="136" ht="14.25" customHeight="1">
      <c r="J136" s="69"/>
      <c r="M136" s="68"/>
    </row>
    <row r="137" ht="14.25" customHeight="1">
      <c r="J137" s="69"/>
      <c r="M137" s="68"/>
    </row>
    <row r="138" ht="14.25" customHeight="1">
      <c r="J138" s="69"/>
      <c r="M138" s="68"/>
    </row>
    <row r="139" ht="14.25" customHeight="1">
      <c r="J139" s="69"/>
      <c r="M139" s="68"/>
    </row>
    <row r="140" ht="14.25" customHeight="1">
      <c r="J140" s="69"/>
      <c r="M140" s="68"/>
    </row>
    <row r="141" ht="14.25" customHeight="1">
      <c r="J141" s="69"/>
      <c r="M141" s="68"/>
    </row>
    <row r="142" ht="14.25" customHeight="1">
      <c r="J142" s="69"/>
      <c r="M142" s="68"/>
    </row>
    <row r="143" ht="14.25" customHeight="1">
      <c r="J143" s="69"/>
      <c r="M143" s="68"/>
    </row>
    <row r="144" ht="14.25" customHeight="1">
      <c r="J144" s="69"/>
      <c r="M144" s="68"/>
    </row>
    <row r="145" ht="14.25" customHeight="1">
      <c r="J145" s="69"/>
      <c r="M145" s="68"/>
    </row>
    <row r="146" ht="14.25" customHeight="1">
      <c r="J146" s="69"/>
      <c r="M146" s="68"/>
    </row>
    <row r="147" ht="14.25" customHeight="1">
      <c r="J147" s="69"/>
      <c r="M147" s="68"/>
    </row>
    <row r="148" ht="14.25" customHeight="1">
      <c r="J148" s="69"/>
      <c r="M148" s="68"/>
    </row>
    <row r="149" ht="14.25" customHeight="1">
      <c r="J149" s="69"/>
      <c r="M149" s="68"/>
    </row>
    <row r="150" ht="14.25" customHeight="1">
      <c r="J150" s="69"/>
      <c r="M150" s="68"/>
    </row>
    <row r="151" ht="14.25" customHeight="1">
      <c r="J151" s="69"/>
      <c r="M151" s="68"/>
    </row>
    <row r="152" ht="14.25" customHeight="1">
      <c r="J152" s="69"/>
      <c r="M152" s="68"/>
    </row>
    <row r="153" ht="14.25" customHeight="1">
      <c r="J153" s="69"/>
      <c r="M153" s="68"/>
    </row>
    <row r="154" ht="14.25" customHeight="1">
      <c r="J154" s="69"/>
      <c r="M154" s="68"/>
    </row>
    <row r="155" ht="14.25" customHeight="1">
      <c r="J155" s="69"/>
      <c r="M155" s="68"/>
    </row>
    <row r="156" ht="14.25" customHeight="1">
      <c r="J156" s="69"/>
      <c r="M156" s="68"/>
    </row>
    <row r="157" ht="14.25" customHeight="1">
      <c r="J157" s="69"/>
      <c r="M157" s="68"/>
    </row>
    <row r="158" ht="14.25" customHeight="1">
      <c r="J158" s="69"/>
      <c r="M158" s="68"/>
    </row>
    <row r="159" ht="14.25" customHeight="1">
      <c r="J159" s="69"/>
      <c r="M159" s="68"/>
    </row>
    <row r="160" ht="14.25" customHeight="1">
      <c r="J160" s="69"/>
      <c r="M160" s="68"/>
    </row>
    <row r="161" ht="14.25" customHeight="1">
      <c r="J161" s="69"/>
      <c r="M161" s="68"/>
    </row>
    <row r="162" ht="14.25" customHeight="1">
      <c r="J162" s="69"/>
      <c r="M162" s="68"/>
    </row>
    <row r="163" ht="14.25" customHeight="1">
      <c r="J163" s="69"/>
      <c r="M163" s="68"/>
    </row>
    <row r="164" ht="14.25" customHeight="1">
      <c r="J164" s="69"/>
      <c r="M164" s="68"/>
    </row>
    <row r="165" ht="14.25" customHeight="1">
      <c r="J165" s="69"/>
      <c r="M165" s="68"/>
    </row>
    <row r="166" ht="14.25" customHeight="1">
      <c r="J166" s="69"/>
      <c r="M166" s="68"/>
    </row>
    <row r="167" ht="14.25" customHeight="1">
      <c r="J167" s="69"/>
      <c r="M167" s="68"/>
    </row>
    <row r="168" ht="14.25" customHeight="1">
      <c r="J168" s="69"/>
      <c r="M168" s="68"/>
    </row>
    <row r="169" ht="14.25" customHeight="1">
      <c r="J169" s="69"/>
      <c r="M169" s="68"/>
    </row>
    <row r="170" ht="14.25" customHeight="1">
      <c r="J170" s="69"/>
      <c r="M170" s="68"/>
    </row>
    <row r="171" ht="14.25" customHeight="1">
      <c r="J171" s="69"/>
      <c r="M171" s="68"/>
    </row>
    <row r="172" ht="14.25" customHeight="1">
      <c r="J172" s="69"/>
      <c r="M172" s="68"/>
    </row>
    <row r="173" ht="14.25" customHeight="1">
      <c r="J173" s="69"/>
      <c r="M173" s="68"/>
    </row>
    <row r="174" ht="14.25" customHeight="1">
      <c r="J174" s="69"/>
      <c r="M174" s="68"/>
    </row>
    <row r="175" ht="14.25" customHeight="1">
      <c r="J175" s="69"/>
      <c r="M175" s="68"/>
    </row>
    <row r="176" ht="14.25" customHeight="1">
      <c r="J176" s="69"/>
      <c r="M176" s="68"/>
    </row>
    <row r="177" ht="14.25" customHeight="1">
      <c r="J177" s="69"/>
      <c r="M177" s="68"/>
    </row>
    <row r="178" ht="14.25" customHeight="1">
      <c r="J178" s="69"/>
      <c r="M178" s="68"/>
    </row>
    <row r="179" ht="14.25" customHeight="1">
      <c r="J179" s="69"/>
      <c r="M179" s="68"/>
    </row>
    <row r="180" ht="14.25" customHeight="1">
      <c r="J180" s="69"/>
      <c r="M180" s="68"/>
    </row>
    <row r="181" ht="14.25" customHeight="1">
      <c r="J181" s="69"/>
      <c r="M181" s="68"/>
    </row>
    <row r="182" ht="14.25" customHeight="1">
      <c r="J182" s="69"/>
      <c r="M182" s="68"/>
    </row>
    <row r="183" ht="14.25" customHeight="1">
      <c r="J183" s="69"/>
      <c r="M183" s="68"/>
    </row>
    <row r="184" ht="14.25" customHeight="1">
      <c r="J184" s="69"/>
      <c r="M184" s="68"/>
    </row>
    <row r="185" ht="14.25" customHeight="1">
      <c r="J185" s="69"/>
      <c r="M185" s="68"/>
    </row>
    <row r="186" ht="14.25" customHeight="1">
      <c r="J186" s="69"/>
      <c r="M186" s="68"/>
    </row>
    <row r="187" ht="14.25" customHeight="1">
      <c r="J187" s="69"/>
      <c r="M187" s="68"/>
    </row>
    <row r="188" ht="14.25" customHeight="1">
      <c r="J188" s="69"/>
      <c r="M188" s="68"/>
    </row>
    <row r="189" ht="14.25" customHeight="1">
      <c r="J189" s="69"/>
      <c r="M189" s="68"/>
    </row>
    <row r="190" ht="14.25" customHeight="1">
      <c r="J190" s="69"/>
      <c r="M190" s="68"/>
    </row>
    <row r="191" ht="14.25" customHeight="1">
      <c r="J191" s="69"/>
      <c r="M191" s="68"/>
    </row>
    <row r="192" ht="14.25" customHeight="1">
      <c r="J192" s="69"/>
      <c r="M192" s="68"/>
    </row>
    <row r="193" ht="14.25" customHeight="1">
      <c r="J193" s="69"/>
      <c r="M193" s="68"/>
    </row>
    <row r="194" ht="14.25" customHeight="1">
      <c r="J194" s="69"/>
      <c r="M194" s="68"/>
    </row>
    <row r="195" ht="14.25" customHeight="1">
      <c r="J195" s="69"/>
      <c r="M195" s="68"/>
    </row>
    <row r="196" ht="14.25" customHeight="1">
      <c r="J196" s="69"/>
      <c r="M196" s="68"/>
    </row>
    <row r="197" ht="14.25" customHeight="1">
      <c r="J197" s="69"/>
      <c r="M197" s="68"/>
    </row>
    <row r="198" ht="14.25" customHeight="1">
      <c r="J198" s="69"/>
      <c r="M198" s="68"/>
    </row>
    <row r="199" ht="14.25" customHeight="1">
      <c r="J199" s="69"/>
      <c r="M199" s="68"/>
    </row>
    <row r="200" ht="14.25" customHeight="1">
      <c r="J200" s="69"/>
      <c r="M200" s="68"/>
    </row>
    <row r="201" ht="14.25" customHeight="1">
      <c r="J201" s="69"/>
      <c r="M201" s="68"/>
    </row>
    <row r="202" ht="14.25" customHeight="1">
      <c r="J202" s="69"/>
      <c r="M202" s="68"/>
    </row>
    <row r="203" ht="14.25" customHeight="1">
      <c r="J203" s="69"/>
      <c r="M203" s="68"/>
    </row>
    <row r="204" ht="14.25" customHeight="1">
      <c r="J204" s="69"/>
      <c r="M204" s="68"/>
    </row>
    <row r="205" ht="14.25" customHeight="1">
      <c r="J205" s="69"/>
      <c r="M205" s="68"/>
    </row>
    <row r="206" ht="14.25" customHeight="1">
      <c r="J206" s="69"/>
      <c r="M206" s="68"/>
    </row>
    <row r="207" ht="14.25" customHeight="1">
      <c r="J207" s="69"/>
      <c r="M207" s="68"/>
    </row>
    <row r="208" ht="14.25" customHeight="1">
      <c r="J208" s="69"/>
      <c r="M208" s="68"/>
    </row>
    <row r="209" ht="14.25" customHeight="1">
      <c r="J209" s="69"/>
      <c r="M209" s="68"/>
    </row>
    <row r="210" ht="14.25" customHeight="1">
      <c r="J210" s="69"/>
      <c r="M210" s="68"/>
    </row>
    <row r="211" ht="14.25" customHeight="1">
      <c r="J211" s="69"/>
      <c r="M211" s="68"/>
    </row>
    <row r="212" ht="14.25" customHeight="1">
      <c r="J212" s="69"/>
      <c r="M212" s="68"/>
    </row>
    <row r="213" ht="14.25" customHeight="1">
      <c r="J213" s="69"/>
      <c r="M213" s="68"/>
    </row>
    <row r="214" ht="14.25" customHeight="1">
      <c r="J214" s="69"/>
      <c r="M214" s="68"/>
    </row>
    <row r="215" ht="14.25" customHeight="1">
      <c r="J215" s="69"/>
      <c r="M215" s="68"/>
    </row>
    <row r="216" ht="14.25" customHeight="1">
      <c r="J216" s="69"/>
      <c r="M216" s="68"/>
    </row>
    <row r="217" ht="14.25" customHeight="1">
      <c r="J217" s="69"/>
      <c r="M217" s="68"/>
    </row>
    <row r="218" ht="14.25" customHeight="1">
      <c r="J218" s="69"/>
      <c r="M218" s="68"/>
    </row>
    <row r="219" ht="14.25" customHeight="1">
      <c r="J219" s="69"/>
      <c r="M219" s="68"/>
    </row>
    <row r="220" ht="14.25" customHeight="1">
      <c r="J220" s="69"/>
      <c r="M220" s="68"/>
    </row>
    <row r="221" ht="14.25" customHeight="1">
      <c r="J221" s="69"/>
      <c r="M221" s="68"/>
    </row>
    <row r="222" ht="14.25" customHeight="1">
      <c r="J222" s="69"/>
      <c r="M222" s="68"/>
    </row>
    <row r="223" ht="14.25" customHeight="1">
      <c r="J223" s="69"/>
      <c r="M223" s="68"/>
    </row>
    <row r="224" ht="14.25" customHeight="1">
      <c r="J224" s="69"/>
      <c r="M224" s="68"/>
    </row>
    <row r="225" ht="14.25" customHeight="1">
      <c r="J225" s="69"/>
      <c r="M225" s="68"/>
    </row>
    <row r="226" ht="14.25" customHeight="1">
      <c r="J226" s="69"/>
      <c r="M226" s="68"/>
    </row>
    <row r="227" ht="14.25" customHeight="1">
      <c r="J227" s="69"/>
      <c r="M227" s="68"/>
    </row>
    <row r="228" ht="14.25" customHeight="1">
      <c r="J228" s="69"/>
      <c r="M228" s="68"/>
    </row>
    <row r="229" ht="14.25" customHeight="1">
      <c r="J229" s="69"/>
      <c r="M229" s="68"/>
    </row>
    <row r="230" ht="14.25" customHeight="1">
      <c r="J230" s="69"/>
      <c r="M230" s="68"/>
    </row>
    <row r="231" ht="14.25" customHeight="1">
      <c r="J231" s="69"/>
      <c r="M231" s="68"/>
    </row>
    <row r="232" ht="14.25" customHeight="1">
      <c r="J232" s="69"/>
      <c r="M232" s="68"/>
    </row>
    <row r="233" ht="14.25" customHeight="1">
      <c r="J233" s="69"/>
      <c r="M233" s="68"/>
    </row>
    <row r="234" ht="14.25" customHeight="1">
      <c r="J234" s="69"/>
      <c r="M234" s="68"/>
    </row>
    <row r="235" ht="14.25" customHeight="1">
      <c r="J235" s="69"/>
      <c r="M235" s="68"/>
    </row>
    <row r="236" ht="14.25" customHeight="1">
      <c r="J236" s="69"/>
      <c r="M236" s="68"/>
    </row>
    <row r="237" ht="14.25" customHeight="1">
      <c r="J237" s="69"/>
      <c r="M237" s="68"/>
    </row>
    <row r="238" ht="14.25" customHeight="1">
      <c r="J238" s="69"/>
      <c r="M238" s="68"/>
    </row>
    <row r="239" ht="14.25" customHeight="1">
      <c r="J239" s="69"/>
      <c r="M239" s="68"/>
    </row>
    <row r="240" ht="14.25" customHeight="1">
      <c r="J240" s="69"/>
      <c r="M240" s="68"/>
    </row>
    <row r="241" ht="14.25" customHeight="1">
      <c r="J241" s="69"/>
      <c r="M241" s="68"/>
    </row>
    <row r="242" ht="14.25" customHeight="1">
      <c r="J242" s="69"/>
      <c r="M242" s="68"/>
    </row>
    <row r="243" ht="14.25" customHeight="1">
      <c r="J243" s="69"/>
      <c r="M243" s="68"/>
    </row>
    <row r="244" ht="14.25" customHeight="1">
      <c r="J244" s="69"/>
      <c r="M244" s="68"/>
    </row>
    <row r="245" ht="14.25" customHeight="1">
      <c r="J245" s="69"/>
      <c r="M245" s="68"/>
    </row>
    <row r="246" ht="14.25" customHeight="1">
      <c r="J246" s="69"/>
      <c r="M246" s="68"/>
    </row>
    <row r="247" ht="14.25" customHeight="1">
      <c r="J247" s="69"/>
      <c r="M247" s="68"/>
    </row>
    <row r="248" ht="14.25" customHeight="1">
      <c r="J248" s="69"/>
      <c r="M248" s="68"/>
    </row>
    <row r="249" ht="14.25" customHeight="1">
      <c r="J249" s="69"/>
      <c r="M249" s="68"/>
    </row>
    <row r="250" ht="14.25" customHeight="1">
      <c r="J250" s="69"/>
      <c r="M250" s="68"/>
    </row>
    <row r="251" ht="14.25" customHeight="1">
      <c r="J251" s="69"/>
      <c r="M251" s="68"/>
    </row>
    <row r="252" ht="14.25" customHeight="1">
      <c r="J252" s="69"/>
      <c r="M252" s="68"/>
    </row>
    <row r="253" ht="14.25" customHeight="1">
      <c r="J253" s="69"/>
      <c r="M253" s="68"/>
    </row>
    <row r="254" ht="14.25" customHeight="1">
      <c r="J254" s="69"/>
      <c r="M254" s="68"/>
    </row>
    <row r="255" ht="14.25" customHeight="1">
      <c r="J255" s="69"/>
      <c r="M255" s="68"/>
    </row>
    <row r="256" ht="14.25" customHeight="1">
      <c r="J256" s="69"/>
      <c r="M256" s="68"/>
    </row>
    <row r="257" ht="14.25" customHeight="1">
      <c r="J257" s="69"/>
      <c r="M257" s="68"/>
    </row>
    <row r="258" ht="14.25" customHeight="1">
      <c r="J258" s="69"/>
      <c r="M258" s="68"/>
    </row>
    <row r="259" ht="14.25" customHeight="1">
      <c r="J259" s="69"/>
      <c r="M259" s="68"/>
    </row>
    <row r="260" ht="14.25" customHeight="1">
      <c r="J260" s="69"/>
      <c r="M260" s="68"/>
    </row>
    <row r="261" ht="14.25" customHeight="1">
      <c r="J261" s="69"/>
      <c r="M261" s="68"/>
    </row>
    <row r="262" ht="14.25" customHeight="1">
      <c r="J262" s="69"/>
      <c r="M262" s="68"/>
    </row>
    <row r="263" ht="14.25" customHeight="1">
      <c r="J263" s="69"/>
      <c r="M263" s="68"/>
    </row>
    <row r="264" ht="14.25" customHeight="1">
      <c r="J264" s="69"/>
      <c r="M264" s="68"/>
    </row>
    <row r="265" ht="14.25" customHeight="1">
      <c r="J265" s="69"/>
      <c r="M265" s="68"/>
    </row>
    <row r="266" ht="14.25" customHeight="1">
      <c r="J266" s="69"/>
      <c r="M266" s="68"/>
    </row>
    <row r="267" ht="14.25" customHeight="1">
      <c r="J267" s="69"/>
      <c r="M267" s="68"/>
    </row>
    <row r="268" ht="14.25" customHeight="1">
      <c r="J268" s="69"/>
      <c r="M268" s="68"/>
    </row>
    <row r="269" ht="14.25" customHeight="1">
      <c r="J269" s="69"/>
      <c r="M269" s="68"/>
    </row>
    <row r="270" ht="14.25" customHeight="1">
      <c r="J270" s="69"/>
      <c r="M270" s="68"/>
    </row>
    <row r="271" ht="14.25" customHeight="1">
      <c r="J271" s="69"/>
      <c r="M271" s="68"/>
    </row>
    <row r="272" ht="14.25" customHeight="1">
      <c r="J272" s="69"/>
      <c r="M272" s="68"/>
    </row>
    <row r="273" ht="14.25" customHeight="1">
      <c r="J273" s="69"/>
      <c r="M273" s="68"/>
    </row>
    <row r="274" ht="14.25" customHeight="1">
      <c r="J274" s="69"/>
      <c r="M274" s="68"/>
    </row>
    <row r="275" ht="14.25" customHeight="1">
      <c r="J275" s="69"/>
      <c r="M275" s="68"/>
    </row>
    <row r="276" ht="14.25" customHeight="1">
      <c r="J276" s="69"/>
      <c r="M276" s="68"/>
    </row>
    <row r="277" ht="14.25" customHeight="1">
      <c r="J277" s="69"/>
      <c r="M277" s="68"/>
    </row>
    <row r="278" ht="14.25" customHeight="1">
      <c r="J278" s="69"/>
      <c r="M278" s="68"/>
    </row>
    <row r="279" ht="14.25" customHeight="1">
      <c r="J279" s="69"/>
      <c r="M279" s="68"/>
    </row>
    <row r="280" ht="14.25" customHeight="1">
      <c r="J280" s="69"/>
      <c r="M280" s="68"/>
    </row>
    <row r="281" ht="14.25" customHeight="1">
      <c r="J281" s="69"/>
      <c r="M281" s="68"/>
    </row>
    <row r="282" ht="14.25" customHeight="1">
      <c r="J282" s="69"/>
      <c r="M282" s="68"/>
    </row>
    <row r="283" ht="14.25" customHeight="1">
      <c r="J283" s="69"/>
      <c r="M283" s="68"/>
    </row>
    <row r="284" ht="14.25" customHeight="1">
      <c r="J284" s="69"/>
      <c r="M284" s="68"/>
    </row>
    <row r="285" ht="14.25" customHeight="1">
      <c r="J285" s="69"/>
      <c r="M285" s="68"/>
    </row>
    <row r="286" ht="14.25" customHeight="1">
      <c r="J286" s="69"/>
      <c r="M286" s="68"/>
    </row>
    <row r="287" ht="14.25" customHeight="1">
      <c r="J287" s="69"/>
      <c r="M287" s="68"/>
    </row>
    <row r="288" ht="14.25" customHeight="1">
      <c r="J288" s="69"/>
      <c r="M288" s="68"/>
    </row>
    <row r="289" ht="14.25" customHeight="1">
      <c r="J289" s="69"/>
      <c r="M289" s="68"/>
    </row>
    <row r="290" ht="14.25" customHeight="1">
      <c r="J290" s="69"/>
      <c r="M290" s="68"/>
    </row>
    <row r="291" ht="14.25" customHeight="1">
      <c r="J291" s="69"/>
      <c r="M291" s="68"/>
    </row>
    <row r="292" ht="14.25" customHeight="1">
      <c r="J292" s="69"/>
      <c r="M292" s="68"/>
    </row>
    <row r="293" ht="14.25" customHeight="1">
      <c r="J293" s="69"/>
      <c r="M293" s="68"/>
    </row>
    <row r="294" ht="14.25" customHeight="1">
      <c r="J294" s="69"/>
      <c r="M294" s="68"/>
    </row>
    <row r="295" ht="14.25" customHeight="1">
      <c r="J295" s="69"/>
      <c r="M295" s="68"/>
    </row>
    <row r="296" ht="14.25" customHeight="1">
      <c r="J296" s="69"/>
      <c r="M296" s="68"/>
    </row>
    <row r="297" ht="14.25" customHeight="1">
      <c r="J297" s="69"/>
      <c r="M297" s="68"/>
    </row>
    <row r="298" ht="14.25" customHeight="1">
      <c r="J298" s="69"/>
      <c r="M298" s="68"/>
    </row>
    <row r="299" ht="14.25" customHeight="1">
      <c r="J299" s="69"/>
      <c r="M299" s="68"/>
    </row>
    <row r="300" ht="14.25" customHeight="1">
      <c r="J300" s="69"/>
      <c r="M300" s="68"/>
    </row>
    <row r="301" ht="14.25" customHeight="1">
      <c r="J301" s="69"/>
      <c r="M301" s="68"/>
    </row>
    <row r="302" ht="14.25" customHeight="1">
      <c r="J302" s="69"/>
      <c r="M302" s="68"/>
    </row>
    <row r="303" ht="14.25" customHeight="1">
      <c r="J303" s="69"/>
      <c r="M303" s="68"/>
    </row>
    <row r="304" ht="14.25" customHeight="1">
      <c r="J304" s="69"/>
      <c r="M304" s="68"/>
    </row>
    <row r="305" ht="14.25" customHeight="1">
      <c r="J305" s="69"/>
      <c r="M305" s="68"/>
    </row>
    <row r="306" ht="14.25" customHeight="1">
      <c r="J306" s="69"/>
      <c r="M306" s="68"/>
    </row>
    <row r="307" ht="14.25" customHeight="1">
      <c r="J307" s="69"/>
      <c r="M307" s="68"/>
    </row>
    <row r="308" ht="14.25" customHeight="1">
      <c r="J308" s="69"/>
      <c r="M308" s="68"/>
    </row>
    <row r="309" ht="14.25" customHeight="1">
      <c r="J309" s="69"/>
      <c r="M309" s="68"/>
    </row>
    <row r="310" ht="14.25" customHeight="1">
      <c r="J310" s="69"/>
      <c r="M310" s="68"/>
    </row>
    <row r="311" ht="14.25" customHeight="1">
      <c r="J311" s="69"/>
      <c r="M311" s="68"/>
    </row>
    <row r="312" ht="14.25" customHeight="1">
      <c r="J312" s="69"/>
      <c r="M312" s="68"/>
    </row>
    <row r="313" ht="14.25" customHeight="1">
      <c r="J313" s="69"/>
      <c r="M313" s="68"/>
    </row>
    <row r="314" ht="14.25" customHeight="1">
      <c r="J314" s="69"/>
      <c r="M314" s="68"/>
    </row>
    <row r="315" ht="14.25" customHeight="1">
      <c r="J315" s="69"/>
      <c r="M315" s="68"/>
    </row>
    <row r="316" ht="14.25" customHeight="1">
      <c r="J316" s="69"/>
      <c r="M316" s="68"/>
    </row>
    <row r="317" ht="14.25" customHeight="1">
      <c r="J317" s="69"/>
      <c r="M317" s="68"/>
    </row>
    <row r="318" ht="14.25" customHeight="1">
      <c r="J318" s="69"/>
      <c r="M318" s="68"/>
    </row>
    <row r="319" ht="14.25" customHeight="1">
      <c r="J319" s="69"/>
      <c r="M319" s="68"/>
    </row>
    <row r="320" ht="14.25" customHeight="1">
      <c r="J320" s="69"/>
      <c r="M320" s="68"/>
    </row>
    <row r="321" ht="14.25" customHeight="1">
      <c r="J321" s="69"/>
      <c r="M321" s="68"/>
    </row>
    <row r="322" ht="14.25" customHeight="1">
      <c r="J322" s="69"/>
      <c r="M322" s="68"/>
    </row>
    <row r="323" ht="14.25" customHeight="1">
      <c r="J323" s="69"/>
      <c r="M323" s="68"/>
    </row>
    <row r="324" ht="14.25" customHeight="1">
      <c r="J324" s="69"/>
      <c r="M324" s="68"/>
    </row>
    <row r="325" ht="14.25" customHeight="1">
      <c r="J325" s="69"/>
      <c r="M325" s="68"/>
    </row>
    <row r="326" ht="14.25" customHeight="1">
      <c r="J326" s="69"/>
      <c r="M326" s="68"/>
    </row>
    <row r="327" ht="14.25" customHeight="1">
      <c r="J327" s="69"/>
      <c r="M327" s="68"/>
    </row>
    <row r="328" ht="14.25" customHeight="1">
      <c r="J328" s="69"/>
      <c r="M328" s="68"/>
    </row>
    <row r="329" ht="14.25" customHeight="1">
      <c r="J329" s="69"/>
      <c r="M329" s="68"/>
    </row>
    <row r="330" ht="14.25" customHeight="1">
      <c r="J330" s="69"/>
      <c r="M330" s="68"/>
    </row>
    <row r="331" ht="14.25" customHeight="1">
      <c r="J331" s="69"/>
      <c r="M331" s="68"/>
    </row>
    <row r="332" ht="14.25" customHeight="1">
      <c r="J332" s="69"/>
      <c r="M332" s="68"/>
    </row>
    <row r="333" ht="14.25" customHeight="1">
      <c r="J333" s="69"/>
      <c r="M333" s="68"/>
    </row>
    <row r="334" ht="14.25" customHeight="1">
      <c r="J334" s="69"/>
      <c r="M334" s="68"/>
    </row>
    <row r="335" ht="14.25" customHeight="1">
      <c r="J335" s="69"/>
      <c r="M335" s="68"/>
    </row>
    <row r="336" ht="14.25" customHeight="1">
      <c r="J336" s="69"/>
      <c r="M336" s="68"/>
    </row>
    <row r="337" ht="14.25" customHeight="1">
      <c r="J337" s="69"/>
      <c r="M337" s="68"/>
    </row>
    <row r="338" ht="14.25" customHeight="1">
      <c r="J338" s="69"/>
      <c r="M338" s="68"/>
    </row>
    <row r="339" ht="14.25" customHeight="1">
      <c r="J339" s="69"/>
      <c r="M339" s="68"/>
    </row>
    <row r="340" ht="14.25" customHeight="1">
      <c r="J340" s="69"/>
      <c r="M340" s="68"/>
    </row>
    <row r="341" ht="14.25" customHeight="1">
      <c r="J341" s="69"/>
      <c r="M341" s="68"/>
    </row>
    <row r="342" ht="14.25" customHeight="1">
      <c r="J342" s="69"/>
      <c r="M342" s="68"/>
    </row>
    <row r="343" ht="14.25" customHeight="1">
      <c r="J343" s="69"/>
      <c r="M343" s="68"/>
    </row>
    <row r="344" ht="14.25" customHeight="1">
      <c r="J344" s="69"/>
      <c r="M344" s="68"/>
    </row>
    <row r="345" ht="14.25" customHeight="1">
      <c r="J345" s="69"/>
      <c r="M345" s="68"/>
    </row>
    <row r="346" ht="14.25" customHeight="1">
      <c r="J346" s="69"/>
      <c r="M346" s="68"/>
    </row>
    <row r="347" ht="14.25" customHeight="1">
      <c r="J347" s="69"/>
      <c r="M347" s="68"/>
    </row>
    <row r="348" ht="14.25" customHeight="1">
      <c r="J348" s="69"/>
      <c r="M348" s="68"/>
    </row>
    <row r="349" ht="14.25" customHeight="1">
      <c r="J349" s="69"/>
      <c r="M349" s="68"/>
    </row>
    <row r="350" ht="14.25" customHeight="1">
      <c r="J350" s="69"/>
      <c r="M350" s="68"/>
    </row>
    <row r="351" ht="14.25" customHeight="1">
      <c r="J351" s="69"/>
      <c r="M351" s="68"/>
    </row>
    <row r="352" ht="14.25" customHeight="1">
      <c r="J352" s="69"/>
      <c r="M352" s="68"/>
    </row>
    <row r="353" ht="14.25" customHeight="1">
      <c r="J353" s="69"/>
      <c r="M353" s="68"/>
    </row>
    <row r="354" ht="14.25" customHeight="1">
      <c r="J354" s="69"/>
      <c r="M354" s="68"/>
    </row>
    <row r="355" ht="14.25" customHeight="1">
      <c r="J355" s="69"/>
      <c r="M355" s="68"/>
    </row>
    <row r="356" ht="14.25" customHeight="1">
      <c r="J356" s="69"/>
      <c r="M356" s="68"/>
    </row>
    <row r="357" ht="14.25" customHeight="1">
      <c r="J357" s="69"/>
      <c r="M357" s="68"/>
    </row>
    <row r="358" ht="14.25" customHeight="1">
      <c r="J358" s="69"/>
      <c r="M358" s="68"/>
    </row>
    <row r="359" ht="14.25" customHeight="1">
      <c r="J359" s="69"/>
      <c r="M359" s="68"/>
    </row>
    <row r="360" ht="14.25" customHeight="1">
      <c r="J360" s="69"/>
      <c r="M360" s="68"/>
    </row>
    <row r="361" ht="14.25" customHeight="1">
      <c r="J361" s="69"/>
      <c r="M361" s="68"/>
    </row>
    <row r="362" ht="14.25" customHeight="1">
      <c r="J362" s="69"/>
      <c r="M362" s="68"/>
    </row>
    <row r="363" ht="14.25" customHeight="1">
      <c r="J363" s="69"/>
      <c r="M363" s="68"/>
    </row>
    <row r="364" ht="14.25" customHeight="1">
      <c r="J364" s="69"/>
      <c r="M364" s="68"/>
    </row>
    <row r="365" ht="14.25" customHeight="1">
      <c r="J365" s="69"/>
      <c r="M365" s="68"/>
    </row>
    <row r="366" ht="14.25" customHeight="1">
      <c r="J366" s="69"/>
      <c r="M366" s="68"/>
    </row>
    <row r="367" ht="14.25" customHeight="1">
      <c r="J367" s="69"/>
      <c r="M367" s="68"/>
    </row>
    <row r="368" ht="14.25" customHeight="1">
      <c r="J368" s="69"/>
      <c r="M368" s="68"/>
    </row>
    <row r="369" ht="14.25" customHeight="1">
      <c r="J369" s="69"/>
      <c r="M369" s="68"/>
    </row>
    <row r="370" ht="14.25" customHeight="1">
      <c r="J370" s="69"/>
      <c r="M370" s="68"/>
    </row>
    <row r="371" ht="14.25" customHeight="1">
      <c r="J371" s="69"/>
      <c r="M371" s="68"/>
    </row>
    <row r="372" ht="14.25" customHeight="1">
      <c r="J372" s="69"/>
      <c r="M372" s="68"/>
    </row>
    <row r="373" ht="14.25" customHeight="1">
      <c r="J373" s="69"/>
      <c r="M373" s="68"/>
    </row>
    <row r="374" ht="14.25" customHeight="1">
      <c r="J374" s="69"/>
      <c r="M374" s="68"/>
    </row>
    <row r="375" ht="14.25" customHeight="1">
      <c r="J375" s="69"/>
      <c r="M375" s="68"/>
    </row>
    <row r="376" ht="14.25" customHeight="1">
      <c r="J376" s="69"/>
      <c r="M376" s="68"/>
    </row>
    <row r="377" ht="14.25" customHeight="1">
      <c r="J377" s="69"/>
      <c r="M377" s="68"/>
    </row>
    <row r="378" ht="14.25" customHeight="1">
      <c r="J378" s="69"/>
      <c r="M378" s="68"/>
    </row>
    <row r="379" ht="14.25" customHeight="1">
      <c r="J379" s="69"/>
      <c r="M379" s="68"/>
    </row>
    <row r="380" ht="14.25" customHeight="1">
      <c r="J380" s="69"/>
      <c r="M380" s="68"/>
    </row>
    <row r="381" ht="14.25" customHeight="1">
      <c r="J381" s="69"/>
      <c r="M381" s="68"/>
    </row>
    <row r="382" ht="14.25" customHeight="1">
      <c r="J382" s="69"/>
      <c r="M382" s="68"/>
    </row>
    <row r="383" ht="14.25" customHeight="1">
      <c r="J383" s="69"/>
      <c r="M383" s="68"/>
    </row>
    <row r="384" ht="14.25" customHeight="1">
      <c r="J384" s="69"/>
      <c r="M384" s="68"/>
    </row>
    <row r="385" ht="14.25" customHeight="1">
      <c r="J385" s="69"/>
      <c r="M385" s="68"/>
    </row>
    <row r="386" ht="14.25" customHeight="1">
      <c r="J386" s="69"/>
      <c r="M386" s="68"/>
    </row>
    <row r="387" ht="14.25" customHeight="1">
      <c r="J387" s="69"/>
      <c r="M387" s="68"/>
    </row>
    <row r="388" ht="14.25" customHeight="1">
      <c r="J388" s="69"/>
      <c r="M388" s="68"/>
    </row>
    <row r="389" ht="14.25" customHeight="1">
      <c r="J389" s="69"/>
      <c r="M389" s="68"/>
    </row>
    <row r="390" ht="14.25" customHeight="1">
      <c r="J390" s="69"/>
      <c r="M390" s="68"/>
    </row>
    <row r="391" ht="14.25" customHeight="1">
      <c r="J391" s="69"/>
      <c r="M391" s="68"/>
    </row>
    <row r="392" ht="14.25" customHeight="1">
      <c r="J392" s="69"/>
      <c r="M392" s="68"/>
    </row>
    <row r="393" ht="14.25" customHeight="1">
      <c r="J393" s="69"/>
      <c r="M393" s="68"/>
    </row>
    <row r="394" ht="14.25" customHeight="1">
      <c r="J394" s="69"/>
      <c r="M394" s="68"/>
    </row>
    <row r="395" ht="14.25" customHeight="1">
      <c r="J395" s="69"/>
      <c r="M395" s="68"/>
    </row>
    <row r="396" ht="14.25" customHeight="1">
      <c r="J396" s="69"/>
      <c r="M396" s="68"/>
    </row>
    <row r="397" ht="14.25" customHeight="1">
      <c r="J397" s="69"/>
      <c r="M397" s="68"/>
    </row>
    <row r="398" ht="14.25" customHeight="1">
      <c r="J398" s="69"/>
      <c r="M398" s="68"/>
    </row>
    <row r="399" ht="14.25" customHeight="1">
      <c r="J399" s="69"/>
      <c r="M399" s="68"/>
    </row>
    <row r="400" ht="14.25" customHeight="1">
      <c r="J400" s="69"/>
      <c r="M400" s="68"/>
    </row>
    <row r="401" ht="14.25" customHeight="1">
      <c r="J401" s="69"/>
      <c r="M401" s="68"/>
    </row>
    <row r="402" ht="14.25" customHeight="1">
      <c r="J402" s="69"/>
      <c r="M402" s="68"/>
    </row>
    <row r="403" ht="14.25" customHeight="1">
      <c r="J403" s="69"/>
      <c r="M403" s="68"/>
    </row>
    <row r="404" ht="14.25" customHeight="1">
      <c r="J404" s="69"/>
      <c r="M404" s="68"/>
    </row>
    <row r="405" ht="14.25" customHeight="1">
      <c r="J405" s="69"/>
      <c r="M405" s="68"/>
    </row>
    <row r="406" ht="14.25" customHeight="1">
      <c r="J406" s="69"/>
      <c r="M406" s="68"/>
    </row>
    <row r="407" ht="14.25" customHeight="1">
      <c r="J407" s="69"/>
      <c r="M407" s="68"/>
    </row>
    <row r="408" ht="14.25" customHeight="1">
      <c r="J408" s="69"/>
      <c r="M408" s="68"/>
    </row>
    <row r="409" ht="14.25" customHeight="1">
      <c r="J409" s="69"/>
      <c r="M409" s="68"/>
    </row>
    <row r="410" ht="14.25" customHeight="1">
      <c r="J410" s="69"/>
      <c r="M410" s="68"/>
    </row>
    <row r="411" ht="14.25" customHeight="1">
      <c r="J411" s="69"/>
      <c r="M411" s="68"/>
    </row>
    <row r="412" ht="14.25" customHeight="1">
      <c r="J412" s="69"/>
      <c r="M412" s="68"/>
    </row>
    <row r="413" ht="14.25" customHeight="1">
      <c r="J413" s="69"/>
      <c r="M413" s="68"/>
    </row>
    <row r="414" ht="14.25" customHeight="1">
      <c r="J414" s="69"/>
      <c r="M414" s="68"/>
    </row>
    <row r="415" ht="14.25" customHeight="1">
      <c r="J415" s="69"/>
      <c r="M415" s="68"/>
    </row>
    <row r="416" ht="14.25" customHeight="1">
      <c r="J416" s="69"/>
      <c r="M416" s="68"/>
    </row>
    <row r="417" ht="14.25" customHeight="1">
      <c r="J417" s="69"/>
      <c r="M417" s="68"/>
    </row>
    <row r="418" ht="14.25" customHeight="1">
      <c r="J418" s="69"/>
      <c r="M418" s="68"/>
    </row>
    <row r="419" ht="14.25" customHeight="1">
      <c r="J419" s="69"/>
      <c r="M419" s="68"/>
    </row>
    <row r="420" ht="14.25" customHeight="1">
      <c r="J420" s="69"/>
      <c r="M420" s="68"/>
    </row>
    <row r="421" ht="14.25" customHeight="1">
      <c r="J421" s="69"/>
      <c r="M421" s="68"/>
    </row>
    <row r="422" ht="14.25" customHeight="1">
      <c r="J422" s="69"/>
      <c r="M422" s="68"/>
    </row>
    <row r="423" ht="14.25" customHeight="1">
      <c r="J423" s="69"/>
      <c r="M423" s="68"/>
    </row>
    <row r="424" ht="14.25" customHeight="1">
      <c r="J424" s="69"/>
      <c r="M424" s="68"/>
    </row>
    <row r="425" ht="14.25" customHeight="1">
      <c r="J425" s="69"/>
      <c r="M425" s="68"/>
    </row>
    <row r="426" ht="14.25" customHeight="1">
      <c r="J426" s="69"/>
      <c r="M426" s="68"/>
    </row>
    <row r="427" ht="14.25" customHeight="1">
      <c r="J427" s="69"/>
      <c r="M427" s="68"/>
    </row>
    <row r="428" ht="14.25" customHeight="1">
      <c r="J428" s="69"/>
      <c r="M428" s="68"/>
    </row>
    <row r="429" ht="14.25" customHeight="1">
      <c r="J429" s="69"/>
      <c r="M429" s="68"/>
    </row>
    <row r="430" ht="14.25" customHeight="1">
      <c r="J430" s="69"/>
      <c r="M430" s="68"/>
    </row>
    <row r="431" ht="14.25" customHeight="1">
      <c r="J431" s="69"/>
      <c r="M431" s="68"/>
    </row>
    <row r="432" ht="14.25" customHeight="1">
      <c r="J432" s="69"/>
      <c r="M432" s="68"/>
    </row>
    <row r="433" ht="14.25" customHeight="1">
      <c r="J433" s="69"/>
      <c r="M433" s="68"/>
    </row>
    <row r="434" ht="14.25" customHeight="1">
      <c r="J434" s="69"/>
      <c r="M434" s="68"/>
    </row>
    <row r="435" ht="14.25" customHeight="1">
      <c r="J435" s="69"/>
      <c r="M435" s="68"/>
    </row>
    <row r="436" ht="14.25" customHeight="1">
      <c r="J436" s="69"/>
      <c r="M436" s="68"/>
    </row>
    <row r="437" ht="14.25" customHeight="1">
      <c r="J437" s="69"/>
      <c r="M437" s="68"/>
    </row>
    <row r="438" ht="14.25" customHeight="1">
      <c r="J438" s="69"/>
      <c r="M438" s="68"/>
    </row>
    <row r="439" ht="14.25" customHeight="1">
      <c r="J439" s="69"/>
      <c r="M439" s="68"/>
    </row>
    <row r="440" ht="14.25" customHeight="1">
      <c r="J440" s="69"/>
      <c r="M440" s="68"/>
    </row>
    <row r="441" ht="14.25" customHeight="1">
      <c r="J441" s="69"/>
      <c r="M441" s="68"/>
    </row>
    <row r="442" ht="14.25" customHeight="1">
      <c r="J442" s="69"/>
      <c r="M442" s="68"/>
    </row>
    <row r="443" ht="14.25" customHeight="1">
      <c r="J443" s="69"/>
      <c r="M443" s="68"/>
    </row>
    <row r="444" ht="14.25" customHeight="1">
      <c r="J444" s="69"/>
      <c r="M444" s="68"/>
    </row>
    <row r="445" ht="14.25" customHeight="1">
      <c r="J445" s="69"/>
      <c r="M445" s="68"/>
    </row>
    <row r="446" ht="14.25" customHeight="1">
      <c r="J446" s="69"/>
      <c r="M446" s="68"/>
    </row>
    <row r="447" ht="14.25" customHeight="1">
      <c r="J447" s="69"/>
      <c r="M447" s="68"/>
    </row>
    <row r="448" ht="14.25" customHeight="1">
      <c r="J448" s="69"/>
      <c r="M448" s="68"/>
    </row>
    <row r="449" ht="14.25" customHeight="1">
      <c r="J449" s="69"/>
      <c r="M449" s="68"/>
    </row>
    <row r="450" ht="14.25" customHeight="1">
      <c r="J450" s="69"/>
      <c r="M450" s="68"/>
    </row>
    <row r="451" ht="14.25" customHeight="1">
      <c r="J451" s="69"/>
      <c r="M451" s="68"/>
    </row>
    <row r="452" ht="14.25" customHeight="1">
      <c r="J452" s="69"/>
      <c r="M452" s="68"/>
    </row>
    <row r="453" ht="14.25" customHeight="1">
      <c r="J453" s="69"/>
      <c r="M453" s="68"/>
    </row>
    <row r="454" ht="14.25" customHeight="1">
      <c r="J454" s="69"/>
      <c r="M454" s="68"/>
    </row>
    <row r="455" ht="14.25" customHeight="1">
      <c r="J455" s="69"/>
      <c r="M455" s="68"/>
    </row>
    <row r="456" ht="14.25" customHeight="1">
      <c r="J456" s="69"/>
      <c r="M456" s="68"/>
    </row>
    <row r="457" ht="14.25" customHeight="1">
      <c r="J457" s="69"/>
      <c r="M457" s="68"/>
    </row>
    <row r="458" ht="14.25" customHeight="1">
      <c r="J458" s="69"/>
      <c r="M458" s="68"/>
    </row>
    <row r="459" ht="14.25" customHeight="1">
      <c r="J459" s="69"/>
      <c r="M459" s="68"/>
    </row>
    <row r="460" ht="14.25" customHeight="1">
      <c r="J460" s="69"/>
      <c r="M460" s="68"/>
    </row>
    <row r="461" ht="14.25" customHeight="1">
      <c r="J461" s="69"/>
      <c r="M461" s="68"/>
    </row>
    <row r="462" ht="14.25" customHeight="1">
      <c r="J462" s="69"/>
      <c r="M462" s="68"/>
    </row>
    <row r="463" ht="14.25" customHeight="1">
      <c r="J463" s="69"/>
      <c r="M463" s="68"/>
    </row>
    <row r="464" ht="14.25" customHeight="1">
      <c r="J464" s="69"/>
      <c r="M464" s="68"/>
    </row>
    <row r="465" ht="14.25" customHeight="1">
      <c r="J465" s="69"/>
      <c r="M465" s="68"/>
    </row>
    <row r="466" ht="14.25" customHeight="1">
      <c r="J466" s="69"/>
      <c r="M466" s="68"/>
    </row>
    <row r="467" ht="14.25" customHeight="1">
      <c r="J467" s="69"/>
      <c r="M467" s="68"/>
    </row>
    <row r="468" ht="14.25" customHeight="1">
      <c r="J468" s="69"/>
      <c r="M468" s="68"/>
    </row>
    <row r="469" ht="14.25" customHeight="1">
      <c r="J469" s="69"/>
      <c r="M469" s="68"/>
    </row>
    <row r="470" ht="14.25" customHeight="1">
      <c r="J470" s="69"/>
      <c r="M470" s="68"/>
    </row>
    <row r="471" ht="14.25" customHeight="1">
      <c r="J471" s="69"/>
      <c r="M471" s="68"/>
    </row>
    <row r="472" ht="14.25" customHeight="1">
      <c r="J472" s="69"/>
      <c r="M472" s="68"/>
    </row>
    <row r="473" ht="14.25" customHeight="1">
      <c r="J473" s="69"/>
      <c r="M473" s="68"/>
    </row>
    <row r="474" ht="14.25" customHeight="1">
      <c r="J474" s="69"/>
      <c r="M474" s="68"/>
    </row>
    <row r="475" ht="14.25" customHeight="1">
      <c r="J475" s="69"/>
      <c r="M475" s="68"/>
    </row>
    <row r="476" ht="14.25" customHeight="1">
      <c r="J476" s="69"/>
      <c r="M476" s="68"/>
    </row>
    <row r="477" ht="14.25" customHeight="1">
      <c r="J477" s="69"/>
      <c r="M477" s="68"/>
    </row>
    <row r="478" ht="14.25" customHeight="1">
      <c r="J478" s="69"/>
      <c r="M478" s="68"/>
    </row>
    <row r="479" ht="14.25" customHeight="1">
      <c r="J479" s="69"/>
      <c r="M479" s="68"/>
    </row>
    <row r="480" ht="14.25" customHeight="1">
      <c r="J480" s="69"/>
      <c r="M480" s="68"/>
    </row>
    <row r="481" ht="14.25" customHeight="1">
      <c r="J481" s="69"/>
      <c r="M481" s="68"/>
    </row>
    <row r="482" ht="14.25" customHeight="1">
      <c r="J482" s="69"/>
      <c r="M482" s="68"/>
    </row>
    <row r="483" ht="14.25" customHeight="1">
      <c r="J483" s="69"/>
      <c r="M483" s="68"/>
    </row>
    <row r="484" ht="14.25" customHeight="1">
      <c r="J484" s="69"/>
      <c r="M484" s="68"/>
    </row>
    <row r="485" ht="14.25" customHeight="1">
      <c r="J485" s="69"/>
      <c r="M485" s="68"/>
    </row>
    <row r="486" ht="14.25" customHeight="1">
      <c r="J486" s="69"/>
      <c r="M486" s="68"/>
    </row>
    <row r="487" ht="14.25" customHeight="1">
      <c r="J487" s="69"/>
      <c r="M487" s="68"/>
    </row>
    <row r="488" ht="14.25" customHeight="1">
      <c r="J488" s="69"/>
      <c r="M488" s="68"/>
    </row>
    <row r="489" ht="14.25" customHeight="1">
      <c r="J489" s="69"/>
      <c r="M489" s="68"/>
    </row>
    <row r="490" ht="14.25" customHeight="1">
      <c r="J490" s="69"/>
      <c r="M490" s="68"/>
    </row>
    <row r="491" ht="14.25" customHeight="1">
      <c r="J491" s="69"/>
      <c r="M491" s="68"/>
    </row>
    <row r="492" ht="14.25" customHeight="1">
      <c r="J492" s="69"/>
      <c r="M492" s="68"/>
    </row>
    <row r="493" ht="14.25" customHeight="1">
      <c r="J493" s="69"/>
      <c r="M493" s="68"/>
    </row>
    <row r="494" ht="14.25" customHeight="1">
      <c r="J494" s="69"/>
      <c r="M494" s="68"/>
    </row>
    <row r="495" ht="14.25" customHeight="1">
      <c r="J495" s="69"/>
      <c r="M495" s="68"/>
    </row>
    <row r="496" ht="14.25" customHeight="1">
      <c r="J496" s="69"/>
      <c r="M496" s="68"/>
    </row>
    <row r="497" ht="14.25" customHeight="1">
      <c r="J497" s="69"/>
      <c r="M497" s="68"/>
    </row>
    <row r="498" ht="14.25" customHeight="1">
      <c r="J498" s="69"/>
      <c r="M498" s="68"/>
    </row>
    <row r="499" ht="14.25" customHeight="1">
      <c r="J499" s="69"/>
      <c r="M499" s="68"/>
    </row>
    <row r="500" ht="14.25" customHeight="1">
      <c r="J500" s="69"/>
      <c r="M500" s="68"/>
    </row>
    <row r="501" ht="14.25" customHeight="1">
      <c r="J501" s="69"/>
      <c r="M501" s="68"/>
    </row>
    <row r="502" ht="14.25" customHeight="1">
      <c r="J502" s="69"/>
      <c r="M502" s="68"/>
    </row>
    <row r="503" ht="14.25" customHeight="1">
      <c r="J503" s="69"/>
      <c r="M503" s="68"/>
    </row>
    <row r="504" ht="14.25" customHeight="1">
      <c r="J504" s="69"/>
      <c r="M504" s="68"/>
    </row>
    <row r="505" ht="14.25" customHeight="1">
      <c r="J505" s="69"/>
      <c r="M505" s="68"/>
    </row>
    <row r="506" ht="14.25" customHeight="1">
      <c r="J506" s="69"/>
      <c r="M506" s="68"/>
    </row>
    <row r="507" ht="14.25" customHeight="1">
      <c r="J507" s="69"/>
      <c r="M507" s="68"/>
    </row>
    <row r="508" ht="14.25" customHeight="1">
      <c r="J508" s="69"/>
      <c r="M508" s="68"/>
    </row>
    <row r="509" ht="14.25" customHeight="1">
      <c r="J509" s="69"/>
      <c r="M509" s="68"/>
    </row>
    <row r="510" ht="14.25" customHeight="1">
      <c r="J510" s="69"/>
      <c r="M510" s="68"/>
    </row>
    <row r="511" ht="14.25" customHeight="1">
      <c r="J511" s="69"/>
      <c r="M511" s="68"/>
    </row>
    <row r="512" ht="14.25" customHeight="1">
      <c r="J512" s="69"/>
      <c r="M512" s="68"/>
    </row>
    <row r="513" ht="14.25" customHeight="1">
      <c r="J513" s="69"/>
      <c r="M513" s="68"/>
    </row>
    <row r="514" ht="14.25" customHeight="1">
      <c r="J514" s="69"/>
      <c r="M514" s="68"/>
    </row>
    <row r="515" ht="14.25" customHeight="1">
      <c r="J515" s="69"/>
      <c r="M515" s="68"/>
    </row>
    <row r="516" ht="14.25" customHeight="1">
      <c r="J516" s="69"/>
      <c r="M516" s="68"/>
    </row>
    <row r="517" ht="14.25" customHeight="1">
      <c r="J517" s="69"/>
      <c r="M517" s="68"/>
    </row>
    <row r="518" ht="14.25" customHeight="1">
      <c r="J518" s="69"/>
      <c r="M518" s="68"/>
    </row>
    <row r="519" ht="14.25" customHeight="1">
      <c r="J519" s="69"/>
      <c r="M519" s="68"/>
    </row>
    <row r="520" ht="14.25" customHeight="1">
      <c r="J520" s="69"/>
      <c r="M520" s="68"/>
    </row>
    <row r="521" ht="14.25" customHeight="1">
      <c r="J521" s="69"/>
      <c r="M521" s="68"/>
    </row>
    <row r="522" ht="14.25" customHeight="1">
      <c r="J522" s="69"/>
      <c r="M522" s="68"/>
    </row>
    <row r="523" ht="14.25" customHeight="1">
      <c r="J523" s="69"/>
      <c r="M523" s="68"/>
    </row>
    <row r="524" ht="14.25" customHeight="1">
      <c r="J524" s="69"/>
      <c r="M524" s="68"/>
    </row>
    <row r="525" ht="14.25" customHeight="1">
      <c r="J525" s="69"/>
      <c r="M525" s="68"/>
    </row>
    <row r="526" ht="14.25" customHeight="1">
      <c r="J526" s="69"/>
      <c r="M526" s="68"/>
    </row>
    <row r="527" ht="14.25" customHeight="1">
      <c r="J527" s="69"/>
      <c r="M527" s="68"/>
    </row>
    <row r="528" ht="14.25" customHeight="1">
      <c r="J528" s="69"/>
      <c r="M528" s="68"/>
    </row>
    <row r="529" ht="14.25" customHeight="1">
      <c r="J529" s="69"/>
      <c r="M529" s="68"/>
    </row>
    <row r="530" ht="14.25" customHeight="1">
      <c r="J530" s="69"/>
      <c r="M530" s="68"/>
    </row>
    <row r="531" ht="14.25" customHeight="1">
      <c r="J531" s="69"/>
      <c r="M531" s="68"/>
    </row>
    <row r="532" ht="14.25" customHeight="1">
      <c r="J532" s="69"/>
      <c r="M532" s="68"/>
    </row>
    <row r="533" ht="14.25" customHeight="1">
      <c r="J533" s="69"/>
      <c r="M533" s="68"/>
    </row>
    <row r="534" ht="14.25" customHeight="1">
      <c r="J534" s="69"/>
      <c r="M534" s="68"/>
    </row>
    <row r="535" ht="14.25" customHeight="1">
      <c r="J535" s="69"/>
      <c r="M535" s="68"/>
    </row>
    <row r="536" ht="14.25" customHeight="1">
      <c r="J536" s="69"/>
      <c r="M536" s="68"/>
    </row>
    <row r="537" ht="14.25" customHeight="1">
      <c r="J537" s="69"/>
      <c r="M537" s="68"/>
    </row>
    <row r="538" ht="14.25" customHeight="1">
      <c r="J538" s="69"/>
      <c r="M538" s="68"/>
    </row>
    <row r="539" ht="14.25" customHeight="1">
      <c r="J539" s="69"/>
      <c r="M539" s="68"/>
    </row>
    <row r="540" ht="14.25" customHeight="1">
      <c r="J540" s="69"/>
      <c r="M540" s="68"/>
    </row>
    <row r="541" ht="14.25" customHeight="1">
      <c r="J541" s="69"/>
      <c r="M541" s="68"/>
    </row>
    <row r="542" ht="14.25" customHeight="1">
      <c r="J542" s="69"/>
      <c r="M542" s="68"/>
    </row>
    <row r="543" ht="14.25" customHeight="1">
      <c r="J543" s="69"/>
      <c r="M543" s="68"/>
    </row>
    <row r="544" ht="14.25" customHeight="1">
      <c r="J544" s="69"/>
      <c r="M544" s="68"/>
    </row>
    <row r="545" ht="14.25" customHeight="1">
      <c r="J545" s="69"/>
      <c r="M545" s="68"/>
    </row>
    <row r="546" ht="14.25" customHeight="1">
      <c r="J546" s="69"/>
      <c r="M546" s="68"/>
    </row>
    <row r="547" ht="14.25" customHeight="1">
      <c r="J547" s="69"/>
      <c r="M547" s="68"/>
    </row>
    <row r="548" ht="14.25" customHeight="1">
      <c r="J548" s="69"/>
      <c r="M548" s="68"/>
    </row>
    <row r="549" ht="14.25" customHeight="1">
      <c r="J549" s="69"/>
      <c r="M549" s="68"/>
    </row>
    <row r="550" ht="14.25" customHeight="1">
      <c r="J550" s="69"/>
      <c r="M550" s="68"/>
    </row>
    <row r="551" ht="14.25" customHeight="1">
      <c r="J551" s="69"/>
      <c r="M551" s="68"/>
    </row>
    <row r="552" ht="14.25" customHeight="1">
      <c r="J552" s="69"/>
      <c r="M552" s="68"/>
    </row>
    <row r="553" ht="14.25" customHeight="1">
      <c r="J553" s="69"/>
      <c r="M553" s="68"/>
    </row>
    <row r="554" ht="14.25" customHeight="1">
      <c r="J554" s="69"/>
      <c r="M554" s="68"/>
    </row>
    <row r="555" ht="14.25" customHeight="1">
      <c r="J555" s="69"/>
      <c r="M555" s="68"/>
    </row>
    <row r="556" ht="14.25" customHeight="1">
      <c r="J556" s="69"/>
      <c r="M556" s="68"/>
    </row>
    <row r="557" ht="14.25" customHeight="1">
      <c r="J557" s="69"/>
      <c r="M557" s="68"/>
    </row>
    <row r="558" ht="14.25" customHeight="1">
      <c r="J558" s="69"/>
      <c r="M558" s="68"/>
    </row>
    <row r="559" ht="14.25" customHeight="1">
      <c r="J559" s="69"/>
      <c r="M559" s="68"/>
    </row>
    <row r="560" ht="14.25" customHeight="1">
      <c r="J560" s="69"/>
      <c r="M560" s="68"/>
    </row>
    <row r="561" ht="14.25" customHeight="1">
      <c r="J561" s="69"/>
      <c r="M561" s="68"/>
    </row>
    <row r="562" ht="14.25" customHeight="1">
      <c r="J562" s="69"/>
      <c r="M562" s="68"/>
    </row>
    <row r="563" ht="14.25" customHeight="1">
      <c r="J563" s="69"/>
      <c r="M563" s="68"/>
    </row>
    <row r="564" ht="14.25" customHeight="1">
      <c r="J564" s="69"/>
      <c r="M564" s="68"/>
    </row>
    <row r="565" ht="14.25" customHeight="1">
      <c r="J565" s="69"/>
      <c r="M565" s="68"/>
    </row>
    <row r="566" ht="14.25" customHeight="1">
      <c r="J566" s="69"/>
      <c r="M566" s="68"/>
    </row>
    <row r="567" ht="14.25" customHeight="1">
      <c r="J567" s="69"/>
      <c r="M567" s="68"/>
    </row>
    <row r="568" ht="14.25" customHeight="1">
      <c r="J568" s="69"/>
      <c r="M568" s="68"/>
    </row>
    <row r="569" ht="14.25" customHeight="1">
      <c r="J569" s="69"/>
      <c r="M569" s="68"/>
    </row>
    <row r="570" ht="14.25" customHeight="1">
      <c r="J570" s="69"/>
      <c r="M570" s="68"/>
    </row>
    <row r="571" ht="14.25" customHeight="1">
      <c r="J571" s="69"/>
      <c r="M571" s="68"/>
    </row>
    <row r="572" ht="14.25" customHeight="1">
      <c r="J572" s="69"/>
      <c r="M572" s="68"/>
    </row>
    <row r="573" ht="14.25" customHeight="1">
      <c r="J573" s="69"/>
      <c r="M573" s="68"/>
    </row>
    <row r="574" ht="14.25" customHeight="1">
      <c r="J574" s="69"/>
      <c r="M574" s="68"/>
    </row>
    <row r="575" ht="14.25" customHeight="1">
      <c r="J575" s="69"/>
      <c r="M575" s="68"/>
    </row>
    <row r="576" ht="14.25" customHeight="1">
      <c r="J576" s="69"/>
      <c r="M576" s="68"/>
    </row>
    <row r="577" ht="14.25" customHeight="1">
      <c r="J577" s="69"/>
      <c r="M577" s="68"/>
    </row>
    <row r="578" ht="14.25" customHeight="1">
      <c r="J578" s="69"/>
      <c r="M578" s="68"/>
    </row>
    <row r="579" ht="14.25" customHeight="1">
      <c r="J579" s="69"/>
      <c r="M579" s="68"/>
    </row>
    <row r="580" ht="14.25" customHeight="1">
      <c r="J580" s="69"/>
      <c r="M580" s="68"/>
    </row>
    <row r="581" ht="14.25" customHeight="1">
      <c r="J581" s="69"/>
      <c r="M581" s="68"/>
    </row>
    <row r="582" ht="14.25" customHeight="1">
      <c r="J582" s="69"/>
      <c r="M582" s="68"/>
    </row>
    <row r="583" ht="14.25" customHeight="1">
      <c r="J583" s="69"/>
      <c r="M583" s="68"/>
    </row>
    <row r="584" ht="14.25" customHeight="1">
      <c r="J584" s="69"/>
      <c r="M584" s="68"/>
    </row>
    <row r="585" ht="14.25" customHeight="1">
      <c r="J585" s="69"/>
      <c r="M585" s="68"/>
    </row>
    <row r="586" ht="14.25" customHeight="1">
      <c r="J586" s="69"/>
      <c r="M586" s="68"/>
    </row>
    <row r="587" ht="14.25" customHeight="1">
      <c r="J587" s="69"/>
      <c r="M587" s="68"/>
    </row>
    <row r="588" ht="14.25" customHeight="1">
      <c r="J588" s="69"/>
      <c r="M588" s="68"/>
    </row>
    <row r="589" ht="14.25" customHeight="1">
      <c r="J589" s="69"/>
      <c r="M589" s="68"/>
    </row>
    <row r="590" ht="14.25" customHeight="1">
      <c r="J590" s="69"/>
      <c r="M590" s="68"/>
    </row>
    <row r="591" ht="14.25" customHeight="1">
      <c r="J591" s="69"/>
      <c r="M591" s="68"/>
    </row>
    <row r="592" ht="14.25" customHeight="1">
      <c r="J592" s="69"/>
      <c r="M592" s="68"/>
    </row>
    <row r="593" ht="14.25" customHeight="1">
      <c r="J593" s="69"/>
      <c r="M593" s="68"/>
    </row>
    <row r="594" ht="14.25" customHeight="1">
      <c r="J594" s="69"/>
      <c r="M594" s="68"/>
    </row>
    <row r="595" ht="14.25" customHeight="1">
      <c r="J595" s="69"/>
      <c r="M595" s="68"/>
    </row>
    <row r="596" ht="14.25" customHeight="1">
      <c r="J596" s="69"/>
      <c r="M596" s="68"/>
    </row>
    <row r="597" ht="14.25" customHeight="1">
      <c r="J597" s="69"/>
      <c r="M597" s="68"/>
    </row>
    <row r="598" ht="14.25" customHeight="1">
      <c r="J598" s="69"/>
      <c r="M598" s="68"/>
    </row>
    <row r="599" ht="14.25" customHeight="1">
      <c r="J599" s="69"/>
      <c r="M599" s="68"/>
    </row>
    <row r="600" ht="14.25" customHeight="1">
      <c r="J600" s="69"/>
      <c r="M600" s="68"/>
    </row>
    <row r="601" ht="14.25" customHeight="1">
      <c r="J601" s="69"/>
      <c r="M601" s="68"/>
    </row>
    <row r="602" ht="14.25" customHeight="1">
      <c r="J602" s="69"/>
      <c r="M602" s="68"/>
    </row>
    <row r="603" ht="14.25" customHeight="1">
      <c r="J603" s="69"/>
      <c r="M603" s="68"/>
    </row>
    <row r="604" ht="14.25" customHeight="1">
      <c r="J604" s="69"/>
      <c r="M604" s="68"/>
    </row>
    <row r="605" ht="14.25" customHeight="1">
      <c r="J605" s="69"/>
      <c r="M605" s="68"/>
    </row>
    <row r="606" ht="14.25" customHeight="1">
      <c r="J606" s="69"/>
      <c r="M606" s="68"/>
    </row>
    <row r="607" ht="14.25" customHeight="1">
      <c r="J607" s="69"/>
      <c r="M607" s="68"/>
    </row>
    <row r="608" ht="14.25" customHeight="1">
      <c r="J608" s="69"/>
      <c r="M608" s="68"/>
    </row>
    <row r="609" ht="14.25" customHeight="1">
      <c r="J609" s="69"/>
      <c r="M609" s="68"/>
    </row>
    <row r="610" ht="14.25" customHeight="1">
      <c r="J610" s="69"/>
      <c r="M610" s="68"/>
    </row>
    <row r="611" ht="14.25" customHeight="1">
      <c r="J611" s="69"/>
      <c r="M611" s="68"/>
    </row>
    <row r="612" ht="14.25" customHeight="1">
      <c r="J612" s="69"/>
      <c r="M612" s="68"/>
    </row>
    <row r="613" ht="14.25" customHeight="1">
      <c r="J613" s="69"/>
      <c r="M613" s="68"/>
    </row>
    <row r="614" ht="14.25" customHeight="1">
      <c r="J614" s="69"/>
      <c r="M614" s="68"/>
    </row>
    <row r="615" ht="14.25" customHeight="1">
      <c r="J615" s="69"/>
      <c r="M615" s="68"/>
    </row>
    <row r="616" ht="14.25" customHeight="1">
      <c r="J616" s="69"/>
      <c r="M616" s="68"/>
    </row>
    <row r="617" ht="14.25" customHeight="1">
      <c r="J617" s="69"/>
      <c r="M617" s="68"/>
    </row>
    <row r="618" ht="14.25" customHeight="1">
      <c r="J618" s="69"/>
      <c r="M618" s="68"/>
    </row>
    <row r="619" ht="14.25" customHeight="1">
      <c r="J619" s="69"/>
      <c r="M619" s="68"/>
    </row>
    <row r="620" ht="14.25" customHeight="1">
      <c r="J620" s="69"/>
      <c r="M620" s="68"/>
    </row>
    <row r="621" ht="14.25" customHeight="1">
      <c r="J621" s="69"/>
      <c r="M621" s="68"/>
    </row>
    <row r="622" ht="14.25" customHeight="1">
      <c r="J622" s="69"/>
      <c r="M622" s="68"/>
    </row>
    <row r="623" ht="14.25" customHeight="1">
      <c r="J623" s="69"/>
      <c r="M623" s="68"/>
    </row>
    <row r="624" ht="14.25" customHeight="1">
      <c r="J624" s="69"/>
      <c r="M624" s="68"/>
    </row>
    <row r="625" ht="14.25" customHeight="1">
      <c r="J625" s="69"/>
      <c r="M625" s="68"/>
    </row>
    <row r="626" ht="14.25" customHeight="1">
      <c r="J626" s="69"/>
      <c r="M626" s="68"/>
    </row>
    <row r="627" ht="14.25" customHeight="1">
      <c r="J627" s="69"/>
      <c r="M627" s="68"/>
    </row>
    <row r="628" ht="14.25" customHeight="1">
      <c r="J628" s="69"/>
      <c r="M628" s="68"/>
    </row>
    <row r="629" ht="14.25" customHeight="1">
      <c r="J629" s="69"/>
      <c r="M629" s="68"/>
    </row>
    <row r="630" ht="14.25" customHeight="1">
      <c r="J630" s="69"/>
      <c r="M630" s="68"/>
    </row>
    <row r="631" ht="14.25" customHeight="1">
      <c r="J631" s="69"/>
      <c r="M631" s="68"/>
    </row>
    <row r="632" ht="14.25" customHeight="1">
      <c r="J632" s="69"/>
      <c r="M632" s="68"/>
    </row>
    <row r="633" ht="14.25" customHeight="1">
      <c r="J633" s="69"/>
      <c r="M633" s="68"/>
    </row>
    <row r="634" ht="14.25" customHeight="1">
      <c r="J634" s="69"/>
      <c r="M634" s="68"/>
    </row>
    <row r="635" ht="14.25" customHeight="1">
      <c r="J635" s="69"/>
      <c r="M635" s="68"/>
    </row>
    <row r="636" ht="14.25" customHeight="1">
      <c r="J636" s="69"/>
      <c r="M636" s="68"/>
    </row>
    <row r="637" ht="14.25" customHeight="1">
      <c r="J637" s="69"/>
      <c r="M637" s="68"/>
    </row>
    <row r="638" ht="14.25" customHeight="1">
      <c r="J638" s="69"/>
      <c r="M638" s="68"/>
    </row>
    <row r="639" ht="14.25" customHeight="1">
      <c r="J639" s="69"/>
      <c r="M639" s="68"/>
    </row>
    <row r="640" ht="14.25" customHeight="1">
      <c r="J640" s="69"/>
      <c r="M640" s="68"/>
    </row>
    <row r="641" ht="14.25" customHeight="1">
      <c r="J641" s="69"/>
      <c r="M641" s="68"/>
    </row>
    <row r="642" ht="14.25" customHeight="1">
      <c r="J642" s="69"/>
      <c r="M642" s="68"/>
    </row>
    <row r="643" ht="14.25" customHeight="1">
      <c r="J643" s="69"/>
      <c r="M643" s="68"/>
    </row>
    <row r="644" ht="14.25" customHeight="1">
      <c r="J644" s="69"/>
      <c r="M644" s="68"/>
    </row>
    <row r="645" ht="14.25" customHeight="1">
      <c r="J645" s="69"/>
      <c r="M645" s="68"/>
    </row>
    <row r="646" ht="14.25" customHeight="1">
      <c r="J646" s="69"/>
      <c r="M646" s="68"/>
    </row>
    <row r="647" ht="14.25" customHeight="1">
      <c r="J647" s="69"/>
      <c r="M647" s="68"/>
    </row>
    <row r="648" ht="14.25" customHeight="1">
      <c r="J648" s="69"/>
      <c r="M648" s="68"/>
    </row>
    <row r="649" ht="14.25" customHeight="1">
      <c r="J649" s="69"/>
      <c r="M649" s="68"/>
    </row>
    <row r="650" ht="14.25" customHeight="1">
      <c r="J650" s="69"/>
      <c r="M650" s="68"/>
    </row>
    <row r="651" ht="14.25" customHeight="1">
      <c r="J651" s="69"/>
      <c r="M651" s="68"/>
    </row>
    <row r="652" ht="14.25" customHeight="1">
      <c r="J652" s="69"/>
      <c r="M652" s="68"/>
    </row>
    <row r="653" ht="14.25" customHeight="1">
      <c r="J653" s="69"/>
      <c r="M653" s="68"/>
    </row>
    <row r="654" ht="14.25" customHeight="1">
      <c r="J654" s="69"/>
      <c r="M654" s="68"/>
    </row>
    <row r="655" ht="14.25" customHeight="1">
      <c r="J655" s="69"/>
      <c r="M655" s="68"/>
    </row>
    <row r="656" ht="14.25" customHeight="1">
      <c r="J656" s="69"/>
      <c r="M656" s="68"/>
    </row>
    <row r="657" ht="14.25" customHeight="1">
      <c r="J657" s="69"/>
      <c r="M657" s="68"/>
    </row>
    <row r="658" ht="14.25" customHeight="1">
      <c r="J658" s="69"/>
      <c r="M658" s="68"/>
    </row>
    <row r="659" ht="14.25" customHeight="1">
      <c r="J659" s="69"/>
      <c r="M659" s="68"/>
    </row>
    <row r="660" ht="14.25" customHeight="1">
      <c r="J660" s="69"/>
      <c r="M660" s="68"/>
    </row>
    <row r="661" ht="14.25" customHeight="1">
      <c r="J661" s="69"/>
      <c r="M661" s="68"/>
    </row>
    <row r="662" ht="14.25" customHeight="1">
      <c r="J662" s="69"/>
      <c r="M662" s="68"/>
    </row>
    <row r="663" ht="14.25" customHeight="1">
      <c r="J663" s="69"/>
      <c r="M663" s="68"/>
    </row>
    <row r="664" ht="14.25" customHeight="1">
      <c r="J664" s="69"/>
      <c r="M664" s="68"/>
    </row>
    <row r="665" ht="14.25" customHeight="1">
      <c r="J665" s="69"/>
      <c r="M665" s="68"/>
    </row>
    <row r="666" ht="14.25" customHeight="1">
      <c r="J666" s="69"/>
      <c r="M666" s="68"/>
    </row>
    <row r="667" ht="14.25" customHeight="1">
      <c r="J667" s="69"/>
      <c r="M667" s="68"/>
    </row>
    <row r="668" ht="14.25" customHeight="1">
      <c r="J668" s="69"/>
      <c r="M668" s="68"/>
    </row>
    <row r="669" ht="14.25" customHeight="1">
      <c r="J669" s="69"/>
      <c r="M669" s="68"/>
    </row>
    <row r="670" ht="14.25" customHeight="1">
      <c r="J670" s="69"/>
      <c r="M670" s="68"/>
    </row>
    <row r="671" ht="14.25" customHeight="1">
      <c r="J671" s="69"/>
      <c r="M671" s="68"/>
    </row>
    <row r="672" ht="14.25" customHeight="1">
      <c r="J672" s="69"/>
      <c r="M672" s="68"/>
    </row>
    <row r="673" ht="14.25" customHeight="1">
      <c r="J673" s="69"/>
      <c r="M673" s="68"/>
    </row>
    <row r="674" ht="14.25" customHeight="1">
      <c r="J674" s="69"/>
      <c r="M674" s="68"/>
    </row>
    <row r="675" ht="14.25" customHeight="1">
      <c r="J675" s="69"/>
      <c r="M675" s="68"/>
    </row>
    <row r="676" ht="14.25" customHeight="1">
      <c r="J676" s="69"/>
      <c r="M676" s="68"/>
    </row>
    <row r="677" ht="14.25" customHeight="1">
      <c r="J677" s="69"/>
      <c r="M677" s="68"/>
    </row>
    <row r="678" ht="14.25" customHeight="1">
      <c r="J678" s="69"/>
      <c r="M678" s="68"/>
    </row>
    <row r="679" ht="14.25" customHeight="1">
      <c r="J679" s="69"/>
      <c r="M679" s="68"/>
    </row>
    <row r="680" ht="14.25" customHeight="1">
      <c r="J680" s="69"/>
      <c r="M680" s="68"/>
    </row>
    <row r="681" ht="14.25" customHeight="1">
      <c r="J681" s="69"/>
      <c r="M681" s="68"/>
    </row>
    <row r="682" ht="14.25" customHeight="1">
      <c r="J682" s="69"/>
      <c r="M682" s="68"/>
    </row>
    <row r="683" ht="14.25" customHeight="1">
      <c r="J683" s="69"/>
      <c r="M683" s="68"/>
    </row>
    <row r="684" ht="14.25" customHeight="1">
      <c r="J684" s="69"/>
      <c r="M684" s="68"/>
    </row>
    <row r="685" ht="14.25" customHeight="1">
      <c r="J685" s="69"/>
      <c r="M685" s="68"/>
    </row>
    <row r="686" ht="14.25" customHeight="1">
      <c r="J686" s="69"/>
      <c r="M686" s="68"/>
    </row>
    <row r="687" ht="14.25" customHeight="1">
      <c r="J687" s="69"/>
      <c r="M687" s="68"/>
    </row>
    <row r="688" ht="14.25" customHeight="1">
      <c r="J688" s="69"/>
      <c r="M688" s="68"/>
    </row>
    <row r="689" ht="14.25" customHeight="1">
      <c r="J689" s="69"/>
      <c r="M689" s="68"/>
    </row>
    <row r="690" ht="14.25" customHeight="1">
      <c r="J690" s="69"/>
      <c r="M690" s="68"/>
    </row>
    <row r="691" ht="14.25" customHeight="1">
      <c r="J691" s="69"/>
      <c r="M691" s="68"/>
    </row>
    <row r="692" ht="14.25" customHeight="1">
      <c r="J692" s="69"/>
      <c r="M692" s="68"/>
    </row>
    <row r="693" ht="14.25" customHeight="1">
      <c r="J693" s="69"/>
      <c r="M693" s="68"/>
    </row>
    <row r="694" ht="14.25" customHeight="1">
      <c r="J694" s="69"/>
      <c r="M694" s="68"/>
    </row>
    <row r="695" ht="14.25" customHeight="1">
      <c r="J695" s="69"/>
      <c r="M695" s="68"/>
    </row>
    <row r="696" ht="14.25" customHeight="1">
      <c r="J696" s="69"/>
      <c r="M696" s="68"/>
    </row>
    <row r="697" ht="14.25" customHeight="1">
      <c r="J697" s="69"/>
      <c r="M697" s="68"/>
    </row>
    <row r="698" ht="14.25" customHeight="1">
      <c r="J698" s="69"/>
      <c r="M698" s="68"/>
    </row>
    <row r="699" ht="14.25" customHeight="1">
      <c r="J699" s="69"/>
      <c r="M699" s="68"/>
    </row>
    <row r="700" ht="14.25" customHeight="1">
      <c r="J700" s="69"/>
      <c r="M700" s="68"/>
    </row>
    <row r="701" ht="14.25" customHeight="1">
      <c r="J701" s="69"/>
      <c r="M701" s="68"/>
    </row>
    <row r="702" ht="14.25" customHeight="1">
      <c r="J702" s="69"/>
      <c r="M702" s="68"/>
    </row>
    <row r="703" ht="14.25" customHeight="1">
      <c r="J703" s="69"/>
      <c r="M703" s="68"/>
    </row>
    <row r="704" ht="14.25" customHeight="1">
      <c r="J704" s="69"/>
      <c r="M704" s="68"/>
    </row>
    <row r="705" ht="14.25" customHeight="1">
      <c r="J705" s="69"/>
      <c r="M705" s="68"/>
    </row>
    <row r="706" ht="14.25" customHeight="1">
      <c r="J706" s="69"/>
      <c r="M706" s="68"/>
    </row>
    <row r="707" ht="14.25" customHeight="1">
      <c r="J707" s="69"/>
      <c r="M707" s="68"/>
    </row>
    <row r="708" ht="14.25" customHeight="1">
      <c r="J708" s="69"/>
      <c r="M708" s="68"/>
    </row>
    <row r="709" ht="14.25" customHeight="1">
      <c r="J709" s="69"/>
      <c r="M709" s="68"/>
    </row>
    <row r="710" ht="14.25" customHeight="1">
      <c r="J710" s="69"/>
      <c r="M710" s="68"/>
    </row>
    <row r="711" ht="14.25" customHeight="1">
      <c r="J711" s="69"/>
      <c r="M711" s="68"/>
    </row>
    <row r="712" ht="14.25" customHeight="1">
      <c r="J712" s="69"/>
      <c r="M712" s="68"/>
    </row>
    <row r="713" ht="14.25" customHeight="1">
      <c r="J713" s="69"/>
      <c r="M713" s="68"/>
    </row>
    <row r="714" ht="14.25" customHeight="1">
      <c r="J714" s="69"/>
      <c r="M714" s="68"/>
    </row>
    <row r="715" ht="14.25" customHeight="1">
      <c r="J715" s="69"/>
      <c r="M715" s="68"/>
    </row>
    <row r="716" ht="14.25" customHeight="1">
      <c r="J716" s="69"/>
      <c r="M716" s="68"/>
    </row>
    <row r="717" ht="14.25" customHeight="1">
      <c r="J717" s="69"/>
      <c r="M717" s="68"/>
    </row>
    <row r="718" ht="14.25" customHeight="1">
      <c r="J718" s="69"/>
      <c r="M718" s="68"/>
    </row>
    <row r="719" ht="14.25" customHeight="1">
      <c r="J719" s="69"/>
      <c r="M719" s="68"/>
    </row>
    <row r="720" ht="14.25" customHeight="1">
      <c r="J720" s="69"/>
      <c r="M720" s="68"/>
    </row>
    <row r="721" ht="14.25" customHeight="1">
      <c r="J721" s="69"/>
      <c r="M721" s="68"/>
    </row>
    <row r="722" ht="14.25" customHeight="1">
      <c r="J722" s="69"/>
      <c r="M722" s="68"/>
    </row>
    <row r="723" ht="14.25" customHeight="1">
      <c r="J723" s="69"/>
      <c r="M723" s="68"/>
    </row>
    <row r="724" ht="14.25" customHeight="1">
      <c r="J724" s="69"/>
      <c r="M724" s="68"/>
    </row>
    <row r="725" ht="14.25" customHeight="1">
      <c r="J725" s="69"/>
      <c r="M725" s="68"/>
    </row>
    <row r="726" ht="14.25" customHeight="1">
      <c r="J726" s="69"/>
      <c r="M726" s="68"/>
    </row>
    <row r="727" ht="14.25" customHeight="1">
      <c r="J727" s="69"/>
      <c r="M727" s="68"/>
    </row>
    <row r="728" ht="14.25" customHeight="1">
      <c r="J728" s="69"/>
      <c r="M728" s="68"/>
    </row>
    <row r="729" ht="14.25" customHeight="1">
      <c r="J729" s="69"/>
      <c r="M729" s="68"/>
    </row>
    <row r="730" ht="14.25" customHeight="1">
      <c r="J730" s="69"/>
      <c r="M730" s="68"/>
    </row>
    <row r="731" ht="14.25" customHeight="1">
      <c r="J731" s="69"/>
      <c r="M731" s="68"/>
    </row>
    <row r="732" ht="14.25" customHeight="1">
      <c r="J732" s="69"/>
      <c r="M732" s="68"/>
    </row>
    <row r="733" ht="14.25" customHeight="1">
      <c r="J733" s="69"/>
      <c r="M733" s="68"/>
    </row>
    <row r="734" ht="14.25" customHeight="1">
      <c r="J734" s="69"/>
      <c r="M734" s="68"/>
    </row>
    <row r="735" ht="14.25" customHeight="1">
      <c r="J735" s="69"/>
      <c r="M735" s="68"/>
    </row>
    <row r="736" ht="14.25" customHeight="1">
      <c r="J736" s="69"/>
      <c r="M736" s="68"/>
    </row>
    <row r="737" ht="14.25" customHeight="1">
      <c r="J737" s="69"/>
      <c r="M737" s="68"/>
    </row>
    <row r="738" ht="14.25" customHeight="1">
      <c r="J738" s="69"/>
      <c r="M738" s="68"/>
    </row>
    <row r="739" ht="14.25" customHeight="1">
      <c r="J739" s="69"/>
      <c r="M739" s="68"/>
    </row>
    <row r="740" ht="14.25" customHeight="1">
      <c r="J740" s="69"/>
      <c r="M740" s="68"/>
    </row>
    <row r="741" ht="14.25" customHeight="1">
      <c r="J741" s="69"/>
      <c r="M741" s="68"/>
    </row>
    <row r="742" ht="14.25" customHeight="1">
      <c r="J742" s="69"/>
      <c r="M742" s="68"/>
    </row>
    <row r="743" ht="14.25" customHeight="1">
      <c r="J743" s="69"/>
      <c r="M743" s="68"/>
    </row>
    <row r="744" ht="14.25" customHeight="1">
      <c r="J744" s="69"/>
      <c r="M744" s="68"/>
    </row>
    <row r="745" ht="14.25" customHeight="1">
      <c r="J745" s="69"/>
      <c r="M745" s="68"/>
    </row>
    <row r="746" ht="14.25" customHeight="1">
      <c r="J746" s="69"/>
      <c r="M746" s="68"/>
    </row>
    <row r="747" ht="14.25" customHeight="1">
      <c r="J747" s="69"/>
      <c r="M747" s="68"/>
    </row>
    <row r="748" ht="14.25" customHeight="1">
      <c r="J748" s="69"/>
      <c r="M748" s="68"/>
    </row>
    <row r="749" ht="14.25" customHeight="1">
      <c r="J749" s="69"/>
      <c r="M749" s="68"/>
    </row>
    <row r="750" ht="14.25" customHeight="1">
      <c r="J750" s="69"/>
      <c r="M750" s="68"/>
    </row>
    <row r="751" ht="14.25" customHeight="1">
      <c r="J751" s="69"/>
      <c r="M751" s="68"/>
    </row>
    <row r="752" ht="14.25" customHeight="1">
      <c r="J752" s="69"/>
      <c r="M752" s="68"/>
    </row>
    <row r="753" ht="14.25" customHeight="1">
      <c r="J753" s="69"/>
      <c r="M753" s="68"/>
    </row>
    <row r="754" ht="14.25" customHeight="1">
      <c r="J754" s="69"/>
      <c r="M754" s="68"/>
    </row>
    <row r="755" ht="14.25" customHeight="1">
      <c r="J755" s="69"/>
      <c r="M755" s="68"/>
    </row>
    <row r="756" ht="14.25" customHeight="1">
      <c r="J756" s="69"/>
      <c r="M756" s="68"/>
    </row>
    <row r="757" ht="14.25" customHeight="1">
      <c r="J757" s="69"/>
      <c r="M757" s="68"/>
    </row>
    <row r="758" ht="14.25" customHeight="1">
      <c r="J758" s="69"/>
      <c r="M758" s="68"/>
    </row>
    <row r="759" ht="14.25" customHeight="1">
      <c r="J759" s="69"/>
      <c r="M759" s="68"/>
    </row>
    <row r="760" ht="14.25" customHeight="1">
      <c r="J760" s="69"/>
      <c r="M760" s="68"/>
    </row>
    <row r="761" ht="14.25" customHeight="1">
      <c r="J761" s="69"/>
      <c r="M761" s="68"/>
    </row>
    <row r="762" ht="14.25" customHeight="1">
      <c r="J762" s="69"/>
      <c r="M762" s="68"/>
    </row>
    <row r="763" ht="14.25" customHeight="1">
      <c r="J763" s="69"/>
      <c r="M763" s="68"/>
    </row>
    <row r="764" ht="14.25" customHeight="1">
      <c r="J764" s="69"/>
      <c r="M764" s="68"/>
    </row>
    <row r="765" ht="14.25" customHeight="1">
      <c r="J765" s="69"/>
      <c r="M765" s="68"/>
    </row>
    <row r="766" ht="14.25" customHeight="1">
      <c r="J766" s="69"/>
      <c r="M766" s="68"/>
    </row>
    <row r="767" ht="14.25" customHeight="1">
      <c r="J767" s="69"/>
      <c r="M767" s="68"/>
    </row>
    <row r="768" ht="14.25" customHeight="1">
      <c r="J768" s="69"/>
      <c r="M768" s="68"/>
    </row>
    <row r="769" ht="14.25" customHeight="1">
      <c r="J769" s="69"/>
      <c r="M769" s="68"/>
    </row>
    <row r="770" ht="14.25" customHeight="1">
      <c r="J770" s="69"/>
      <c r="M770" s="68"/>
    </row>
    <row r="771" ht="14.25" customHeight="1">
      <c r="J771" s="69"/>
      <c r="M771" s="68"/>
    </row>
    <row r="772" ht="14.25" customHeight="1">
      <c r="J772" s="69"/>
      <c r="M772" s="68"/>
    </row>
    <row r="773" ht="14.25" customHeight="1">
      <c r="J773" s="69"/>
      <c r="M773" s="68"/>
    </row>
    <row r="774" ht="14.25" customHeight="1">
      <c r="J774" s="69"/>
      <c r="M774" s="68"/>
    </row>
    <row r="775" ht="14.25" customHeight="1">
      <c r="J775" s="69"/>
      <c r="M775" s="68"/>
    </row>
    <row r="776" ht="14.25" customHeight="1">
      <c r="J776" s="69"/>
      <c r="M776" s="68"/>
    </row>
    <row r="777" ht="14.25" customHeight="1">
      <c r="J777" s="69"/>
      <c r="M777" s="68"/>
    </row>
    <row r="778" ht="14.25" customHeight="1">
      <c r="J778" s="69"/>
      <c r="M778" s="68"/>
    </row>
    <row r="779" ht="14.25" customHeight="1">
      <c r="J779" s="69"/>
      <c r="M779" s="68"/>
    </row>
    <row r="780" ht="14.25" customHeight="1">
      <c r="J780" s="69"/>
      <c r="M780" s="68"/>
    </row>
    <row r="781" ht="14.25" customHeight="1">
      <c r="J781" s="69"/>
      <c r="M781" s="68"/>
    </row>
    <row r="782" ht="14.25" customHeight="1">
      <c r="J782" s="69"/>
      <c r="M782" s="68"/>
    </row>
    <row r="783" ht="14.25" customHeight="1">
      <c r="J783" s="69"/>
      <c r="M783" s="68"/>
    </row>
    <row r="784" ht="14.25" customHeight="1">
      <c r="J784" s="69"/>
      <c r="M784" s="68"/>
    </row>
    <row r="785" ht="14.25" customHeight="1">
      <c r="J785" s="69"/>
      <c r="M785" s="68"/>
    </row>
    <row r="786" ht="14.25" customHeight="1">
      <c r="J786" s="69"/>
      <c r="M786" s="68"/>
    </row>
    <row r="787" ht="14.25" customHeight="1">
      <c r="J787" s="69"/>
      <c r="M787" s="68"/>
    </row>
    <row r="788" ht="14.25" customHeight="1">
      <c r="J788" s="69"/>
      <c r="M788" s="68"/>
    </row>
    <row r="789" ht="14.25" customHeight="1">
      <c r="J789" s="69"/>
      <c r="M789" s="68"/>
    </row>
    <row r="790" ht="14.25" customHeight="1">
      <c r="J790" s="69"/>
      <c r="M790" s="68"/>
    </row>
    <row r="791" ht="14.25" customHeight="1">
      <c r="J791" s="69"/>
      <c r="M791" s="68"/>
    </row>
    <row r="792" ht="14.25" customHeight="1">
      <c r="J792" s="69"/>
      <c r="M792" s="68"/>
    </row>
    <row r="793" ht="14.25" customHeight="1">
      <c r="J793" s="69"/>
      <c r="M793" s="68"/>
    </row>
    <row r="794" ht="14.25" customHeight="1">
      <c r="J794" s="69"/>
      <c r="M794" s="68"/>
    </row>
    <row r="795" ht="14.25" customHeight="1">
      <c r="J795" s="69"/>
      <c r="M795" s="68"/>
    </row>
    <row r="796" ht="14.25" customHeight="1">
      <c r="J796" s="69"/>
      <c r="M796" s="68"/>
    </row>
    <row r="797" ht="14.25" customHeight="1">
      <c r="J797" s="69"/>
      <c r="M797" s="68"/>
    </row>
    <row r="798" ht="14.25" customHeight="1">
      <c r="J798" s="69"/>
      <c r="M798" s="68"/>
    </row>
    <row r="799" ht="14.25" customHeight="1">
      <c r="J799" s="69"/>
      <c r="M799" s="68"/>
    </row>
    <row r="800" ht="14.25" customHeight="1">
      <c r="J800" s="69"/>
      <c r="M800" s="68"/>
    </row>
    <row r="801" ht="14.25" customHeight="1">
      <c r="J801" s="69"/>
      <c r="M801" s="68"/>
    </row>
    <row r="802" ht="14.25" customHeight="1">
      <c r="J802" s="69"/>
      <c r="M802" s="68"/>
    </row>
    <row r="803" ht="14.25" customHeight="1">
      <c r="J803" s="69"/>
      <c r="M803" s="68"/>
    </row>
    <row r="804" ht="14.25" customHeight="1">
      <c r="J804" s="69"/>
      <c r="M804" s="68"/>
    </row>
    <row r="805" ht="14.25" customHeight="1">
      <c r="J805" s="69"/>
      <c r="M805" s="68"/>
    </row>
    <row r="806" ht="14.25" customHeight="1">
      <c r="J806" s="69"/>
      <c r="M806" s="68"/>
    </row>
    <row r="807" ht="14.25" customHeight="1">
      <c r="J807" s="69"/>
      <c r="M807" s="68"/>
    </row>
    <row r="808" ht="14.25" customHeight="1">
      <c r="J808" s="69"/>
      <c r="M808" s="68"/>
    </row>
    <row r="809" ht="14.25" customHeight="1">
      <c r="J809" s="69"/>
      <c r="M809" s="68"/>
    </row>
    <row r="810" ht="14.25" customHeight="1">
      <c r="J810" s="69"/>
      <c r="M810" s="68"/>
    </row>
    <row r="811" ht="14.25" customHeight="1">
      <c r="J811" s="69"/>
      <c r="M811" s="68"/>
    </row>
    <row r="812" ht="14.25" customHeight="1">
      <c r="J812" s="69"/>
      <c r="M812" s="68"/>
    </row>
    <row r="813" ht="14.25" customHeight="1">
      <c r="J813" s="69"/>
      <c r="M813" s="68"/>
    </row>
    <row r="814" ht="14.25" customHeight="1">
      <c r="J814" s="69"/>
      <c r="M814" s="68"/>
    </row>
    <row r="815" ht="14.25" customHeight="1">
      <c r="J815" s="69"/>
      <c r="M815" s="68"/>
    </row>
    <row r="816" ht="14.25" customHeight="1">
      <c r="J816" s="69"/>
      <c r="M816" s="68"/>
    </row>
    <row r="817" ht="14.25" customHeight="1">
      <c r="J817" s="69"/>
      <c r="M817" s="68"/>
    </row>
    <row r="818" ht="14.25" customHeight="1">
      <c r="J818" s="69"/>
      <c r="M818" s="68"/>
    </row>
    <row r="819" ht="14.25" customHeight="1">
      <c r="J819" s="69"/>
      <c r="M819" s="68"/>
    </row>
    <row r="820" ht="14.25" customHeight="1">
      <c r="J820" s="69"/>
      <c r="M820" s="68"/>
    </row>
    <row r="821" ht="14.25" customHeight="1">
      <c r="J821" s="69"/>
      <c r="M821" s="68"/>
    </row>
    <row r="822" ht="14.25" customHeight="1">
      <c r="J822" s="69"/>
      <c r="M822" s="68"/>
    </row>
    <row r="823" ht="14.25" customHeight="1">
      <c r="J823" s="69"/>
      <c r="M823" s="68"/>
    </row>
    <row r="824" ht="14.25" customHeight="1">
      <c r="J824" s="69"/>
      <c r="M824" s="68"/>
    </row>
    <row r="825" ht="14.25" customHeight="1">
      <c r="J825" s="69"/>
      <c r="M825" s="68"/>
    </row>
    <row r="826" ht="14.25" customHeight="1">
      <c r="J826" s="69"/>
      <c r="M826" s="68"/>
    </row>
    <row r="827" ht="14.25" customHeight="1">
      <c r="J827" s="69"/>
      <c r="M827" s="68"/>
    </row>
    <row r="828" ht="14.25" customHeight="1">
      <c r="J828" s="69"/>
      <c r="M828" s="68"/>
    </row>
    <row r="829" ht="14.25" customHeight="1">
      <c r="J829" s="69"/>
      <c r="M829" s="68"/>
    </row>
    <row r="830" ht="14.25" customHeight="1">
      <c r="J830" s="69"/>
      <c r="M830" s="68"/>
    </row>
    <row r="831" ht="14.25" customHeight="1">
      <c r="J831" s="69"/>
      <c r="M831" s="68"/>
    </row>
    <row r="832" ht="14.25" customHeight="1">
      <c r="J832" s="69"/>
      <c r="M832" s="68"/>
    </row>
    <row r="833" ht="14.25" customHeight="1">
      <c r="J833" s="69"/>
      <c r="M833" s="68"/>
    </row>
    <row r="834" ht="14.25" customHeight="1">
      <c r="J834" s="69"/>
      <c r="M834" s="68"/>
    </row>
    <row r="835" ht="14.25" customHeight="1">
      <c r="J835" s="69"/>
      <c r="M835" s="68"/>
    </row>
    <row r="836" ht="14.25" customHeight="1">
      <c r="J836" s="69"/>
      <c r="M836" s="68"/>
    </row>
    <row r="837" ht="14.25" customHeight="1">
      <c r="J837" s="69"/>
      <c r="M837" s="68"/>
    </row>
    <row r="838" ht="14.25" customHeight="1">
      <c r="J838" s="69"/>
      <c r="M838" s="68"/>
    </row>
    <row r="839" ht="14.25" customHeight="1">
      <c r="J839" s="69"/>
      <c r="M839" s="68"/>
    </row>
    <row r="840" ht="14.25" customHeight="1">
      <c r="J840" s="69"/>
      <c r="M840" s="68"/>
    </row>
    <row r="841" ht="14.25" customHeight="1">
      <c r="J841" s="69"/>
      <c r="M841" s="68"/>
    </row>
    <row r="842" ht="14.25" customHeight="1">
      <c r="J842" s="69"/>
      <c r="M842" s="68"/>
    </row>
    <row r="843" ht="14.25" customHeight="1">
      <c r="J843" s="69"/>
      <c r="M843" s="68"/>
    </row>
    <row r="844" ht="14.25" customHeight="1">
      <c r="J844" s="69"/>
      <c r="M844" s="68"/>
    </row>
    <row r="845" ht="14.25" customHeight="1">
      <c r="J845" s="69"/>
      <c r="M845" s="68"/>
    </row>
    <row r="846" ht="14.25" customHeight="1">
      <c r="J846" s="69"/>
      <c r="M846" s="68"/>
    </row>
    <row r="847" ht="14.25" customHeight="1">
      <c r="J847" s="69"/>
      <c r="M847" s="68"/>
    </row>
    <row r="848" ht="14.25" customHeight="1">
      <c r="J848" s="69"/>
      <c r="M848" s="68"/>
    </row>
    <row r="849" ht="14.25" customHeight="1">
      <c r="J849" s="69"/>
      <c r="M849" s="68"/>
    </row>
    <row r="850" ht="14.25" customHeight="1">
      <c r="J850" s="69"/>
      <c r="M850" s="68"/>
    </row>
    <row r="851" ht="14.25" customHeight="1">
      <c r="J851" s="69"/>
      <c r="M851" s="68"/>
    </row>
    <row r="852" ht="14.25" customHeight="1">
      <c r="J852" s="69"/>
      <c r="M852" s="68"/>
    </row>
    <row r="853" ht="14.25" customHeight="1">
      <c r="J853" s="69"/>
      <c r="M853" s="68"/>
    </row>
    <row r="854" ht="14.25" customHeight="1">
      <c r="J854" s="69"/>
      <c r="M854" s="68"/>
    </row>
    <row r="855" ht="14.25" customHeight="1">
      <c r="J855" s="69"/>
      <c r="M855" s="68"/>
    </row>
    <row r="856" ht="14.25" customHeight="1">
      <c r="J856" s="69"/>
      <c r="M856" s="68"/>
    </row>
    <row r="857" ht="14.25" customHeight="1">
      <c r="J857" s="69"/>
      <c r="M857" s="68"/>
    </row>
    <row r="858" ht="14.25" customHeight="1">
      <c r="J858" s="69"/>
      <c r="M858" s="68"/>
    </row>
    <row r="859" ht="14.25" customHeight="1">
      <c r="J859" s="69"/>
      <c r="M859" s="68"/>
    </row>
    <row r="860" ht="14.25" customHeight="1">
      <c r="J860" s="69"/>
      <c r="M860" s="68"/>
    </row>
    <row r="861" ht="14.25" customHeight="1">
      <c r="J861" s="69"/>
      <c r="M861" s="68"/>
    </row>
    <row r="862" ht="14.25" customHeight="1">
      <c r="J862" s="69"/>
      <c r="M862" s="68"/>
    </row>
    <row r="863" ht="14.25" customHeight="1">
      <c r="J863" s="69"/>
      <c r="M863" s="68"/>
    </row>
    <row r="864" ht="14.25" customHeight="1">
      <c r="J864" s="69"/>
      <c r="M864" s="68"/>
    </row>
    <row r="865" ht="14.25" customHeight="1">
      <c r="J865" s="69"/>
      <c r="M865" s="68"/>
    </row>
    <row r="866" ht="14.25" customHeight="1">
      <c r="J866" s="69"/>
      <c r="M866" s="68"/>
    </row>
    <row r="867" ht="14.25" customHeight="1">
      <c r="J867" s="69"/>
      <c r="M867" s="68"/>
    </row>
    <row r="868" ht="14.25" customHeight="1">
      <c r="J868" s="69"/>
      <c r="M868" s="68"/>
    </row>
    <row r="869" ht="14.25" customHeight="1">
      <c r="J869" s="69"/>
      <c r="M869" s="68"/>
    </row>
    <row r="870" ht="14.25" customHeight="1">
      <c r="J870" s="69"/>
      <c r="M870" s="68"/>
    </row>
    <row r="871" ht="14.25" customHeight="1">
      <c r="J871" s="69"/>
      <c r="M871" s="68"/>
    </row>
    <row r="872" ht="14.25" customHeight="1">
      <c r="J872" s="69"/>
      <c r="M872" s="68"/>
    </row>
    <row r="873" ht="14.25" customHeight="1">
      <c r="J873" s="69"/>
      <c r="M873" s="68"/>
    </row>
    <row r="874" ht="14.25" customHeight="1">
      <c r="J874" s="69"/>
      <c r="M874" s="68"/>
    </row>
    <row r="875" ht="14.25" customHeight="1">
      <c r="J875" s="69"/>
      <c r="M875" s="68"/>
    </row>
    <row r="876" ht="14.25" customHeight="1">
      <c r="J876" s="69"/>
      <c r="M876" s="68"/>
    </row>
    <row r="877" ht="14.25" customHeight="1">
      <c r="J877" s="69"/>
      <c r="M877" s="68"/>
    </row>
    <row r="878" ht="14.25" customHeight="1">
      <c r="J878" s="69"/>
      <c r="M878" s="68"/>
    </row>
    <row r="879" ht="14.25" customHeight="1">
      <c r="J879" s="69"/>
      <c r="M879" s="68"/>
    </row>
    <row r="880" ht="14.25" customHeight="1">
      <c r="J880" s="69"/>
      <c r="M880" s="68"/>
    </row>
    <row r="881" ht="14.25" customHeight="1">
      <c r="J881" s="69"/>
      <c r="M881" s="68"/>
    </row>
    <row r="882" ht="14.25" customHeight="1">
      <c r="J882" s="69"/>
      <c r="M882" s="68"/>
    </row>
    <row r="883" ht="14.25" customHeight="1">
      <c r="J883" s="69"/>
      <c r="M883" s="68"/>
    </row>
    <row r="884" ht="14.25" customHeight="1">
      <c r="J884" s="69"/>
      <c r="M884" s="68"/>
    </row>
    <row r="885" ht="14.25" customHeight="1">
      <c r="J885" s="69"/>
      <c r="M885" s="68"/>
    </row>
    <row r="886" ht="14.25" customHeight="1">
      <c r="J886" s="69"/>
      <c r="M886" s="68"/>
    </row>
    <row r="887" ht="14.25" customHeight="1">
      <c r="J887" s="69"/>
      <c r="M887" s="68"/>
    </row>
    <row r="888" ht="14.25" customHeight="1">
      <c r="J888" s="69"/>
      <c r="M888" s="68"/>
    </row>
    <row r="889" ht="14.25" customHeight="1">
      <c r="J889" s="69"/>
      <c r="M889" s="68"/>
    </row>
    <row r="890" ht="14.25" customHeight="1">
      <c r="J890" s="69"/>
      <c r="M890" s="68"/>
    </row>
    <row r="891" ht="14.25" customHeight="1">
      <c r="J891" s="69"/>
      <c r="M891" s="68"/>
    </row>
    <row r="892" ht="14.25" customHeight="1">
      <c r="J892" s="69"/>
      <c r="M892" s="68"/>
    </row>
    <row r="893" ht="14.25" customHeight="1">
      <c r="J893" s="69"/>
      <c r="M893" s="68"/>
    </row>
    <row r="894" ht="14.25" customHeight="1">
      <c r="J894" s="69"/>
      <c r="M894" s="68"/>
    </row>
    <row r="895" ht="14.25" customHeight="1">
      <c r="J895" s="69"/>
      <c r="M895" s="68"/>
    </row>
    <row r="896" ht="14.25" customHeight="1">
      <c r="J896" s="69"/>
      <c r="M896" s="68"/>
    </row>
    <row r="897" ht="14.25" customHeight="1">
      <c r="J897" s="69"/>
      <c r="M897" s="68"/>
    </row>
    <row r="898" ht="14.25" customHeight="1">
      <c r="J898" s="69"/>
      <c r="M898" s="68"/>
    </row>
    <row r="899" ht="14.25" customHeight="1">
      <c r="J899" s="69"/>
      <c r="M899" s="68"/>
    </row>
    <row r="900" ht="14.25" customHeight="1">
      <c r="J900" s="69"/>
      <c r="M900" s="68"/>
    </row>
    <row r="901" ht="14.25" customHeight="1">
      <c r="J901" s="69"/>
      <c r="M901" s="68"/>
    </row>
    <row r="902" ht="14.25" customHeight="1">
      <c r="J902" s="69"/>
      <c r="M902" s="68"/>
    </row>
    <row r="903" ht="14.25" customHeight="1">
      <c r="J903" s="69"/>
      <c r="M903" s="68"/>
    </row>
    <row r="904" ht="14.25" customHeight="1">
      <c r="J904" s="69"/>
      <c r="M904" s="68"/>
    </row>
    <row r="905" ht="14.25" customHeight="1">
      <c r="J905" s="69"/>
      <c r="M905" s="68"/>
    </row>
    <row r="906" ht="14.25" customHeight="1">
      <c r="J906" s="69"/>
      <c r="M906" s="68"/>
    </row>
    <row r="907" ht="14.25" customHeight="1">
      <c r="J907" s="69"/>
      <c r="M907" s="68"/>
    </row>
    <row r="908" ht="14.25" customHeight="1">
      <c r="J908" s="69"/>
      <c r="M908" s="68"/>
    </row>
    <row r="909" ht="14.25" customHeight="1">
      <c r="J909" s="69"/>
      <c r="M909" s="68"/>
    </row>
    <row r="910" ht="14.25" customHeight="1">
      <c r="J910" s="69"/>
      <c r="M910" s="68"/>
    </row>
    <row r="911" ht="14.25" customHeight="1">
      <c r="J911" s="69"/>
      <c r="M911" s="68"/>
    </row>
    <row r="912" ht="14.25" customHeight="1">
      <c r="J912" s="69"/>
      <c r="M912" s="68"/>
    </row>
    <row r="913" ht="14.25" customHeight="1">
      <c r="J913" s="69"/>
      <c r="M913" s="68"/>
    </row>
    <row r="914" ht="14.25" customHeight="1">
      <c r="J914" s="69"/>
      <c r="M914" s="68"/>
    </row>
    <row r="915" ht="14.25" customHeight="1">
      <c r="J915" s="69"/>
      <c r="M915" s="68"/>
    </row>
    <row r="916" ht="14.25" customHeight="1">
      <c r="J916" s="69"/>
      <c r="M916" s="68"/>
    </row>
    <row r="917" ht="14.25" customHeight="1">
      <c r="J917" s="69"/>
      <c r="M917" s="68"/>
    </row>
    <row r="918" ht="14.25" customHeight="1">
      <c r="J918" s="69"/>
      <c r="M918" s="68"/>
    </row>
    <row r="919" ht="14.25" customHeight="1">
      <c r="J919" s="69"/>
      <c r="M919" s="68"/>
    </row>
    <row r="920" ht="14.25" customHeight="1">
      <c r="J920" s="69"/>
      <c r="M920" s="68"/>
    </row>
    <row r="921" ht="14.25" customHeight="1">
      <c r="J921" s="69"/>
      <c r="M921" s="68"/>
    </row>
    <row r="922" ht="14.25" customHeight="1">
      <c r="J922" s="69"/>
      <c r="M922" s="68"/>
    </row>
    <row r="923" ht="14.25" customHeight="1">
      <c r="J923" s="69"/>
      <c r="M923" s="68"/>
    </row>
    <row r="924" ht="14.25" customHeight="1">
      <c r="J924" s="69"/>
      <c r="M924" s="68"/>
    </row>
    <row r="925" ht="14.25" customHeight="1">
      <c r="J925" s="69"/>
      <c r="M925" s="68"/>
    </row>
    <row r="926" ht="14.25" customHeight="1">
      <c r="J926" s="69"/>
      <c r="M926" s="68"/>
    </row>
    <row r="927" ht="14.25" customHeight="1">
      <c r="J927" s="69"/>
      <c r="M927" s="68"/>
    </row>
    <row r="928" ht="14.25" customHeight="1">
      <c r="J928" s="69"/>
      <c r="M928" s="68"/>
    </row>
    <row r="929" ht="14.25" customHeight="1">
      <c r="J929" s="69"/>
      <c r="M929" s="68"/>
    </row>
    <row r="930" ht="14.25" customHeight="1">
      <c r="J930" s="69"/>
      <c r="M930" s="68"/>
    </row>
    <row r="931" ht="14.25" customHeight="1">
      <c r="J931" s="69"/>
      <c r="M931" s="68"/>
    </row>
    <row r="932" ht="14.25" customHeight="1">
      <c r="J932" s="69"/>
      <c r="M932" s="68"/>
    </row>
    <row r="933" ht="14.25" customHeight="1">
      <c r="J933" s="69"/>
      <c r="M933" s="68"/>
    </row>
    <row r="934" ht="14.25" customHeight="1">
      <c r="J934" s="69"/>
      <c r="M934" s="68"/>
    </row>
    <row r="935" ht="14.25" customHeight="1">
      <c r="J935" s="69"/>
      <c r="M935" s="68"/>
    </row>
    <row r="936" ht="14.25" customHeight="1">
      <c r="J936" s="69"/>
      <c r="M936" s="68"/>
    </row>
    <row r="937" ht="14.25" customHeight="1">
      <c r="J937" s="69"/>
      <c r="M937" s="68"/>
    </row>
    <row r="938" ht="14.25" customHeight="1">
      <c r="J938" s="69"/>
      <c r="M938" s="68"/>
    </row>
    <row r="939" ht="14.25" customHeight="1">
      <c r="J939" s="69"/>
      <c r="M939" s="68"/>
    </row>
    <row r="940" ht="14.25" customHeight="1">
      <c r="J940" s="69"/>
      <c r="M940" s="68"/>
    </row>
    <row r="941" ht="14.25" customHeight="1">
      <c r="J941" s="69"/>
      <c r="M941" s="68"/>
    </row>
    <row r="942" ht="14.25" customHeight="1">
      <c r="J942" s="69"/>
      <c r="M942" s="68"/>
    </row>
    <row r="943" ht="14.25" customHeight="1">
      <c r="J943" s="69"/>
      <c r="M943" s="68"/>
    </row>
    <row r="944" ht="14.25" customHeight="1">
      <c r="J944" s="69"/>
      <c r="M944" s="68"/>
    </row>
    <row r="945" ht="14.25" customHeight="1">
      <c r="J945" s="69"/>
      <c r="M945" s="68"/>
    </row>
    <row r="946" ht="14.25" customHeight="1">
      <c r="J946" s="69"/>
      <c r="M946" s="68"/>
    </row>
    <row r="947" ht="14.25" customHeight="1">
      <c r="J947" s="69"/>
      <c r="M947" s="68"/>
    </row>
    <row r="948" ht="14.25" customHeight="1">
      <c r="J948" s="69"/>
      <c r="M948" s="68"/>
    </row>
    <row r="949" ht="14.25" customHeight="1">
      <c r="J949" s="69"/>
      <c r="M949" s="68"/>
    </row>
    <row r="950" ht="14.25" customHeight="1">
      <c r="J950" s="69"/>
      <c r="M950" s="68"/>
    </row>
    <row r="951" ht="14.25" customHeight="1">
      <c r="J951" s="69"/>
      <c r="M951" s="68"/>
    </row>
    <row r="952" ht="14.25" customHeight="1">
      <c r="J952" s="69"/>
      <c r="M952" s="68"/>
    </row>
    <row r="953" ht="14.25" customHeight="1">
      <c r="J953" s="69"/>
      <c r="M953" s="68"/>
    </row>
    <row r="954" ht="14.25" customHeight="1">
      <c r="J954" s="69"/>
      <c r="M954" s="68"/>
    </row>
    <row r="955" ht="14.25" customHeight="1">
      <c r="J955" s="69"/>
      <c r="M955" s="68"/>
    </row>
    <row r="956" ht="14.25" customHeight="1">
      <c r="J956" s="69"/>
      <c r="M956" s="68"/>
    </row>
    <row r="957" ht="14.25" customHeight="1">
      <c r="J957" s="69"/>
      <c r="M957" s="68"/>
    </row>
    <row r="958" ht="14.25" customHeight="1">
      <c r="J958" s="69"/>
      <c r="M958" s="68"/>
    </row>
    <row r="959" ht="14.25" customHeight="1">
      <c r="J959" s="69"/>
      <c r="M959" s="68"/>
    </row>
    <row r="960" ht="14.25" customHeight="1">
      <c r="J960" s="69"/>
      <c r="M960" s="68"/>
    </row>
    <row r="961" ht="14.25" customHeight="1">
      <c r="J961" s="69"/>
      <c r="M961" s="68"/>
    </row>
    <row r="962" ht="14.25" customHeight="1">
      <c r="J962" s="69"/>
      <c r="M962" s="68"/>
    </row>
    <row r="963" ht="14.25" customHeight="1">
      <c r="J963" s="69"/>
      <c r="M963" s="68"/>
    </row>
    <row r="964" ht="14.25" customHeight="1">
      <c r="J964" s="69"/>
      <c r="M964" s="68"/>
    </row>
    <row r="965" ht="14.25" customHeight="1">
      <c r="J965" s="69"/>
      <c r="M965" s="68"/>
    </row>
    <row r="966" ht="14.25" customHeight="1">
      <c r="J966" s="69"/>
      <c r="M966" s="68"/>
    </row>
    <row r="967" ht="14.25" customHeight="1">
      <c r="J967" s="69"/>
      <c r="M967" s="68"/>
    </row>
    <row r="968" ht="14.25" customHeight="1">
      <c r="J968" s="69"/>
      <c r="M968" s="68"/>
    </row>
    <row r="969" ht="14.25" customHeight="1">
      <c r="J969" s="69"/>
      <c r="M969" s="68"/>
    </row>
    <row r="970" ht="14.25" customHeight="1">
      <c r="J970" s="69"/>
      <c r="M970" s="68"/>
    </row>
    <row r="971" ht="14.25" customHeight="1">
      <c r="J971" s="69"/>
      <c r="M971" s="68"/>
    </row>
    <row r="972" ht="14.25" customHeight="1">
      <c r="J972" s="69"/>
      <c r="M972" s="68"/>
    </row>
    <row r="973" ht="14.25" customHeight="1">
      <c r="J973" s="69"/>
      <c r="M973" s="68"/>
    </row>
    <row r="974" ht="14.25" customHeight="1">
      <c r="J974" s="69"/>
      <c r="M974" s="68"/>
    </row>
    <row r="975" ht="14.25" customHeight="1">
      <c r="J975" s="69"/>
      <c r="M975" s="68"/>
    </row>
    <row r="976" ht="14.25" customHeight="1">
      <c r="J976" s="69"/>
      <c r="M976" s="68"/>
    </row>
    <row r="977" ht="14.25" customHeight="1">
      <c r="J977" s="69"/>
      <c r="M977" s="68"/>
    </row>
    <row r="978" ht="14.25" customHeight="1">
      <c r="J978" s="69"/>
      <c r="M978" s="68"/>
    </row>
    <row r="979" ht="14.25" customHeight="1">
      <c r="J979" s="69"/>
      <c r="M979" s="68"/>
    </row>
    <row r="980" ht="14.25" customHeight="1">
      <c r="J980" s="69"/>
      <c r="M980" s="68"/>
    </row>
    <row r="981" ht="14.25" customHeight="1">
      <c r="J981" s="69"/>
      <c r="M981" s="68"/>
    </row>
    <row r="982" ht="14.25" customHeight="1">
      <c r="J982" s="69"/>
      <c r="M982" s="68"/>
    </row>
    <row r="983" ht="14.25" customHeight="1">
      <c r="J983" s="69"/>
      <c r="M983" s="68"/>
    </row>
    <row r="984" ht="14.25" customHeight="1">
      <c r="J984" s="69"/>
      <c r="M984" s="68"/>
    </row>
    <row r="985" ht="14.25" customHeight="1">
      <c r="J985" s="69"/>
      <c r="M985" s="68"/>
    </row>
    <row r="986" ht="14.25" customHeight="1">
      <c r="J986" s="69"/>
      <c r="M986" s="68"/>
    </row>
    <row r="987" ht="14.25" customHeight="1">
      <c r="J987" s="69"/>
      <c r="M987" s="68"/>
    </row>
    <row r="988" ht="14.25" customHeight="1">
      <c r="J988" s="69"/>
      <c r="M988" s="68"/>
    </row>
    <row r="989" ht="14.25" customHeight="1">
      <c r="J989" s="69"/>
      <c r="M989" s="68"/>
    </row>
    <row r="990" ht="14.25" customHeight="1">
      <c r="J990" s="69"/>
      <c r="M990" s="68"/>
    </row>
    <row r="991" ht="14.25" customHeight="1">
      <c r="J991" s="69"/>
      <c r="M991" s="68"/>
    </row>
    <row r="992" ht="14.25" customHeight="1">
      <c r="J992" s="69"/>
      <c r="M992" s="68"/>
    </row>
    <row r="993" ht="14.25" customHeight="1">
      <c r="J993" s="69"/>
      <c r="M993" s="68"/>
    </row>
    <row r="994" ht="14.25" customHeight="1">
      <c r="J994" s="69"/>
      <c r="M994" s="68"/>
    </row>
    <row r="995" ht="14.25" customHeight="1">
      <c r="J995" s="69"/>
      <c r="M995" s="68"/>
    </row>
    <row r="996" ht="14.25" customHeight="1">
      <c r="J996" s="69"/>
      <c r="M996" s="68"/>
    </row>
    <row r="997" ht="14.25" customHeight="1">
      <c r="J997" s="69"/>
      <c r="M997" s="68"/>
    </row>
    <row r="998" ht="14.25" customHeight="1">
      <c r="J998" s="69"/>
      <c r="M998" s="68"/>
    </row>
    <row r="999" ht="14.25" customHeight="1">
      <c r="J999" s="69"/>
      <c r="M999" s="68"/>
    </row>
  </sheetData>
  <mergeCells count="16">
    <mergeCell ref="F4:F5"/>
    <mergeCell ref="G4:G5"/>
    <mergeCell ref="A46:B46"/>
    <mergeCell ref="H4:M4"/>
    <mergeCell ref="N4:O4"/>
    <mergeCell ref="P4:T4"/>
    <mergeCell ref="U4:U5"/>
    <mergeCell ref="X4:X5"/>
    <mergeCell ref="A1:P1"/>
    <mergeCell ref="A2:P2"/>
    <mergeCell ref="A3:P3"/>
    <mergeCell ref="A4:A5"/>
    <mergeCell ref="B4:B5"/>
    <mergeCell ref="C4:D4"/>
    <mergeCell ref="E4:E5"/>
    <mergeCell ref="A6:P6"/>
  </mergeCells>
  <printOptions/>
  <pageMargins bottom="0.4805306870887715" footer="0.0" header="0.0" left="0.38900103240519596" right="0.38900103240519596" top="1.0"/>
  <pageSetup paperSize="9" scale="3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3.43"/>
    <col customWidth="1" min="2" max="2" width="20.86"/>
    <col customWidth="1" min="3" max="3" width="24.0"/>
    <col customWidth="1" min="4" max="4" width="26.0"/>
    <col customWidth="1" min="5" max="5" width="14.0"/>
    <col customWidth="1" min="6" max="26" width="8.71"/>
  </cols>
  <sheetData>
    <row r="1" ht="27.75" customHeight="1">
      <c r="A1" s="70" t="s">
        <v>65</v>
      </c>
      <c r="B1" s="2"/>
      <c r="C1" s="2"/>
      <c r="D1" s="2"/>
      <c r="E1" s="2"/>
      <c r="F1" s="2"/>
      <c r="G1" s="3"/>
    </row>
    <row r="2" ht="13.5" customHeight="1">
      <c r="A2" s="5" t="s">
        <v>66</v>
      </c>
      <c r="B2" s="2"/>
      <c r="C2" s="2"/>
      <c r="D2" s="2"/>
      <c r="E2" s="2"/>
      <c r="F2" s="2"/>
      <c r="G2" s="3"/>
    </row>
    <row r="3" ht="21.75" customHeight="1">
      <c r="A3" s="71" t="s">
        <v>67</v>
      </c>
      <c r="B3" s="71" t="s">
        <v>68</v>
      </c>
      <c r="C3" s="71" t="s">
        <v>69</v>
      </c>
      <c r="D3" s="71" t="s">
        <v>70</v>
      </c>
      <c r="E3" s="71" t="s">
        <v>71</v>
      </c>
    </row>
    <row r="4" ht="19.5" customHeight="1">
      <c r="A4" s="72" t="s">
        <v>72</v>
      </c>
      <c r="B4" s="73">
        <f>'DESCUENTOS MENSUALES'!C46</f>
        <v>128</v>
      </c>
      <c r="C4" s="74">
        <f>COUNTIF('DESCUENTOS MENSUALES'!C7:C45,"&gt;0")</f>
        <v>10</v>
      </c>
      <c r="D4" s="75">
        <f t="shared" ref="D4:D12" si="1">IFERROR(B4/C4,0)</f>
        <v>12.8</v>
      </c>
      <c r="E4" s="76">
        <f>IFERROR(B4/B12,0)</f>
        <v>0.01684398913</v>
      </c>
    </row>
    <row r="5" ht="19.5" customHeight="1">
      <c r="A5" s="77" t="s">
        <v>6</v>
      </c>
      <c r="B5" s="73">
        <f>'DESCUENTOS MENSUALES'!E46</f>
        <v>169.47</v>
      </c>
      <c r="C5" s="74">
        <f>COUNTIF('DESCUENTOS MENSUALES'!E7:E45,"&gt;0")</f>
        <v>3</v>
      </c>
      <c r="D5" s="75">
        <f t="shared" si="1"/>
        <v>56.49</v>
      </c>
      <c r="E5" s="76">
        <f>IFERROR(B5/B12,0)</f>
        <v>0.02230117842</v>
      </c>
    </row>
    <row r="6" ht="19.5" customHeight="1">
      <c r="A6" s="78" t="s">
        <v>7</v>
      </c>
      <c r="B6" s="73">
        <f>'DESCUENTOS MENSUALES'!F46</f>
        <v>16.7</v>
      </c>
      <c r="C6" s="74">
        <f>COUNTIF('DESCUENTOS MENSUALES'!F7:F45,"&gt;0")</f>
        <v>1</v>
      </c>
      <c r="D6" s="75">
        <f t="shared" si="1"/>
        <v>16.7</v>
      </c>
      <c r="E6" s="76">
        <f>IFERROR(B6/B12,0)</f>
        <v>0.002197614207</v>
      </c>
    </row>
    <row r="7" ht="19.5" customHeight="1">
      <c r="A7" s="79" t="s">
        <v>73</v>
      </c>
      <c r="B7" s="73">
        <f>'DESCUENTOS MENSUALES'!G46</f>
        <v>164</v>
      </c>
      <c r="C7" s="74">
        <f>COUNTIF('DESCUENTOS MENSUALES'!G7:G45,"&gt;0")</f>
        <v>1</v>
      </c>
      <c r="D7" s="75">
        <f t="shared" si="1"/>
        <v>164</v>
      </c>
      <c r="E7" s="76">
        <f>IFERROR(B7/B12,0)</f>
        <v>0.02158136107</v>
      </c>
    </row>
    <row r="8" ht="19.5" customHeight="1">
      <c r="A8" s="80" t="s">
        <v>74</v>
      </c>
      <c r="B8" s="73">
        <f>'DESCUENTOS MENSUALES'!I46</f>
        <v>6889.96</v>
      </c>
      <c r="C8" s="74">
        <f>COUNTIF('DESCUENTOS MENSUALES'!I7:I45,"&gt;0")</f>
        <v>10</v>
      </c>
      <c r="D8" s="75">
        <f t="shared" si="1"/>
        <v>688.996</v>
      </c>
      <c r="E8" s="76">
        <f>IFERROR(B8/B12,0)</f>
        <v>0.9066750887</v>
      </c>
    </row>
    <row r="9" ht="15.0" customHeight="1">
      <c r="A9" s="81" t="s">
        <v>75</v>
      </c>
      <c r="B9" s="73">
        <f>'DESCUENTOS MENSUALES'!N46</f>
        <v>0</v>
      </c>
      <c r="C9" s="74">
        <f>COUNTIF('DESCUENTOS MENSUALES'!N7:N45,"&gt;0")</f>
        <v>0</v>
      </c>
      <c r="D9" s="75">
        <f t="shared" si="1"/>
        <v>0</v>
      </c>
      <c r="E9" s="76">
        <f>IFERROR(B9/B12,0)</f>
        <v>0</v>
      </c>
    </row>
    <row r="10" ht="19.5" customHeight="1">
      <c r="A10" s="82" t="s">
        <v>11</v>
      </c>
      <c r="B10" s="83">
        <f>'DESCUENTOS MENSUALES'!Q46</f>
        <v>66.66</v>
      </c>
      <c r="C10" s="84">
        <f>COUNTIF('DESCUENTOS MENSUALES'!Q7:Q45,"&gt;0")</f>
        <v>1</v>
      </c>
      <c r="D10" s="85">
        <f t="shared" si="1"/>
        <v>66.66</v>
      </c>
      <c r="E10" s="76">
        <f>IFERROR(B10/B12,0)</f>
        <v>0.008772033714</v>
      </c>
    </row>
    <row r="11" ht="19.5" customHeight="1">
      <c r="A11" s="86" t="s">
        <v>76</v>
      </c>
      <c r="B11" s="87">
        <f>'DESCUENTOS MENSUALES'!V46</f>
        <v>164.36</v>
      </c>
      <c r="C11" s="88">
        <f>COUNTIF('DESCUENTOS MENSUALES'!V7:V45,"&gt;0")</f>
        <v>2</v>
      </c>
      <c r="D11" s="89">
        <f t="shared" si="1"/>
        <v>82.18</v>
      </c>
      <c r="E11" s="76">
        <f>IFERROR(B11/B12,0)</f>
        <v>0.02162873479</v>
      </c>
    </row>
    <row r="12" ht="19.5" customHeight="1">
      <c r="A12" s="90" t="s">
        <v>77</v>
      </c>
      <c r="B12" s="91">
        <f>'DESCUENTOS MENSUALES'!X46</f>
        <v>7599.15</v>
      </c>
      <c r="C12" s="74">
        <f>COUNTIF('DESCUENTOS MENSUALES'!P7:P45,"&gt;0")</f>
        <v>0</v>
      </c>
      <c r="D12" s="75">
        <f t="shared" si="1"/>
        <v>0</v>
      </c>
      <c r="E12" s="76">
        <f>SUM(E4:E11)</f>
        <v>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0.0"/>
    <col customWidth="1" min="3" max="3" width="107.14"/>
    <col customWidth="1" min="4" max="26" width="8.71"/>
  </cols>
  <sheetData>
    <row r="1" ht="27.75" customHeight="1">
      <c r="A1" s="92" t="s">
        <v>78</v>
      </c>
      <c r="B1" s="2"/>
      <c r="C1" s="3"/>
    </row>
    <row r="2" ht="30.0" customHeight="1">
      <c r="A2" s="93" t="s">
        <v>62</v>
      </c>
      <c r="B2" s="94" t="s">
        <v>4</v>
      </c>
      <c r="C2" s="55" t="s">
        <v>79</v>
      </c>
    </row>
    <row r="3" ht="30.0" customHeight="1">
      <c r="A3" s="93" t="s">
        <v>80</v>
      </c>
      <c r="B3" s="94" t="s">
        <v>72</v>
      </c>
      <c r="C3" s="57" t="s">
        <v>81</v>
      </c>
    </row>
    <row r="4" ht="30.0" customHeight="1">
      <c r="A4" s="93" t="s">
        <v>82</v>
      </c>
      <c r="B4" s="94" t="s">
        <v>6</v>
      </c>
      <c r="C4" s="55" t="s">
        <v>83</v>
      </c>
    </row>
    <row r="5" ht="30.0" customHeight="1">
      <c r="A5" s="93" t="s">
        <v>84</v>
      </c>
      <c r="B5" s="94" t="s">
        <v>7</v>
      </c>
      <c r="C5" s="57" t="s">
        <v>85</v>
      </c>
    </row>
    <row r="6" ht="30.0" customHeight="1">
      <c r="A6" s="93" t="s">
        <v>86</v>
      </c>
      <c r="B6" s="94" t="s">
        <v>73</v>
      </c>
      <c r="C6" s="55" t="s">
        <v>87</v>
      </c>
    </row>
    <row r="7" ht="30.0" customHeight="1">
      <c r="A7" s="93" t="s">
        <v>88</v>
      </c>
      <c r="B7" s="94" t="s">
        <v>74</v>
      </c>
      <c r="C7" s="57" t="s">
        <v>89</v>
      </c>
    </row>
    <row r="8" ht="30.0" customHeight="1">
      <c r="A8" s="93" t="s">
        <v>90</v>
      </c>
      <c r="B8" s="94" t="s">
        <v>75</v>
      </c>
      <c r="C8" s="55" t="s">
        <v>91</v>
      </c>
    </row>
    <row r="9" ht="30.0" customHeight="1">
      <c r="A9" s="93" t="s">
        <v>92</v>
      </c>
      <c r="B9" s="94" t="s">
        <v>93</v>
      </c>
      <c r="C9" s="57" t="s">
        <v>94</v>
      </c>
    </row>
    <row r="10" ht="30.0" customHeight="1">
      <c r="A10" s="93" t="s">
        <v>92</v>
      </c>
      <c r="B10" s="94" t="s">
        <v>95</v>
      </c>
      <c r="C10" s="37" t="s">
        <v>96</v>
      </c>
    </row>
    <row r="11" ht="30.0" customHeight="1">
      <c r="A11" s="95" t="s">
        <v>97</v>
      </c>
      <c r="B11" s="96" t="s">
        <v>98</v>
      </c>
      <c r="C11" s="37" t="s">
        <v>99</v>
      </c>
    </row>
    <row r="12" ht="23.25" customHeight="1">
      <c r="A12" s="93" t="s">
        <v>97</v>
      </c>
      <c r="B12" s="94" t="s">
        <v>100</v>
      </c>
      <c r="C12" s="55" t="s">
        <v>101</v>
      </c>
    </row>
    <row r="13" ht="14.25" customHeight="1">
      <c r="A13" s="93" t="s">
        <v>102</v>
      </c>
      <c r="B13" s="94" t="s">
        <v>103</v>
      </c>
      <c r="C13" s="57" t="s">
        <v>104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2026-06-05T22:25:25Z</dcterms:created>
  <dc:creator>openpyxl</dc:creator>
</cp:coreProperties>
</file>